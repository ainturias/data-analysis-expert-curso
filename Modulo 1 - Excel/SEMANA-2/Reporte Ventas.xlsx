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intu\Desktop\MATERIAS PC-BLANCA\Data Engineer\Practica02\"/>
    </mc:Choice>
  </mc:AlternateContent>
  <xr:revisionPtr revIDLastSave="0" documentId="13_ncr:1_{C2C4E7F9-DCBA-4E1F-B6CF-1B27A02996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</sheets>
  <calcPr calcId="191029"/>
  <pivotCaches>
    <pivotCache cacheId="85" r:id="rId3"/>
    <pivotCache cacheId="88" r:id="rId4"/>
    <pivotCache cacheId="97" r:id="rId5"/>
  </pivotCaches>
  <extLst>
    <ext xmlns:x15="http://schemas.microsoft.com/office/spreadsheetml/2010/11/main" uri="{841E416B-1EF1-43b6-AB56-02D37102CBD5}">
      <x15:pivotCaches>
        <pivotCache cacheId="1" r:id="rId6"/>
        <pivotCache cacheId="3" r:id="rId7"/>
        <pivotCache cacheId="6" r:id="rId8"/>
        <pivotCache cacheId="42" r:id="rId9"/>
        <pivotCache cacheId="53" r:id="rId10"/>
        <pivotCache cacheId="56" r:id="rId11"/>
        <pivotCache cacheId="59" r:id="rId12"/>
      </x15:pivotCaches>
    </ext>
    <ext xmlns:x15="http://schemas.microsoft.com/office/spreadsheetml/2010/11/main" uri="{983426D0-5260-488c-9760-48F4B6AC55F4}">
      <x15:pivotTableReferences>
        <x15:pivotTableReference r:id="rId13"/>
        <x15:pivotTableReference r:id="rId14"/>
        <x15:pivotTableReference r:id="rId15"/>
        <x15:pivotTableReference r:id="rId16"/>
        <x15:pivotTableReference r:id="rId17"/>
        <x15:pivotTableReference r:id="rId18"/>
        <x15:pivotTableReference r:id="rId19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o_2e339ffa-2348-4dd5-95ce-de408a620767" name="Producto" connection="Consulta - Producto"/>
          <x15:modelTable id="Lugar_95404df7-53f7-4598-8000-83550d35b5c9" name="Lugar" connection="Consulta - Lugar"/>
          <x15:modelTable id="Ventas_dd7f402d-ce7c-4228-820f-61a19247efc2" name="Ventas" connection="Consulta - Ventas"/>
          <x15:modelTable id="Calendario_d6ed6175-1c22-40b0-9a62-f98b3b245f18" name="Calendario" connection="Consulta - Calendario"/>
        </x15:modelTables>
        <x15:modelRelationships>
          <x15:modelRelationship fromTable="Ventas" fromColumn="IdLugar" toTable="Lugar" toColumn="IdLugar"/>
          <x15:modelRelationship fromTable="Ventas" fromColumn="Fecha" toTable="Calendario" toColumn="Fecha"/>
          <x15:modelRelationship fromTable="Ventas" fromColumn="IdProducto" toTable="Producto" toColumn="IdProducto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191D9B-31D8-43E4-ABA9-07EDE442EDCD}" name="Consulta - Calendario" description="Conexión a la consulta 'Calendario' en el libro." type="100" refreshedVersion="8" minRefreshableVersion="5">
    <extLst>
      <ext xmlns:x15="http://schemas.microsoft.com/office/spreadsheetml/2010/11/main" uri="{DE250136-89BD-433C-8126-D09CA5730AF9}">
        <x15:connection id="26662504-65ba-495f-bfff-0c89188d81f8"/>
      </ext>
    </extLst>
  </connection>
  <connection id="2" xr16:uid="{8883DA72-6F63-4F44-965E-38B156233A27}" name="Consulta - Lugar" description="Conexión a la consulta 'Lugar' en el libro." type="100" refreshedVersion="8" minRefreshableVersion="5">
    <extLst>
      <ext xmlns:x15="http://schemas.microsoft.com/office/spreadsheetml/2010/11/main" uri="{DE250136-89BD-433C-8126-D09CA5730AF9}">
        <x15:connection id="c2c98bc9-63ab-4df3-aac3-ec26c056357e">
          <x15:oledbPr connection="Provider=Microsoft.Mashup.OleDb.1;Data Source=$Workbook$;Location=Lugar;Extended Properties=&quot;&quot;">
            <x15:dbTables>
              <x15:dbTable name="Lugar"/>
            </x15:dbTables>
          </x15:oledbPr>
        </x15:connection>
      </ext>
    </extLst>
  </connection>
  <connection id="3" xr16:uid="{E61130AB-3B15-4A24-BF22-757960B3A351}" name="Consulta - Producto" description="Conexión a la consulta 'Producto' en el libro." type="100" refreshedVersion="8" minRefreshableVersion="5">
    <extLst>
      <ext xmlns:x15="http://schemas.microsoft.com/office/spreadsheetml/2010/11/main" uri="{DE250136-89BD-433C-8126-D09CA5730AF9}">
        <x15:connection id="3166cfd8-5ef2-458a-9692-77489c91605a"/>
      </ext>
    </extLst>
  </connection>
  <connection id="4" xr16:uid="{5E029A6A-4AEA-4940-B363-4C332BBB6C07}" name="Consulta - Ventas" description="Conexión a la consulta 'Ventas' en el libro." type="100" refreshedVersion="8" minRefreshableVersion="5">
    <extLst>
      <ext xmlns:x15="http://schemas.microsoft.com/office/spreadsheetml/2010/11/main" uri="{DE250136-89BD-433C-8126-D09CA5730AF9}">
        <x15:connection id="282be3ec-cf7d-479e-ae86-df07293936c7">
          <x15:oledbPr connection="Provider=Microsoft.Mashup.OleDb.1;Data Source=$Workbook$;Location=Ventas;Extended Properties=&quot;&quot;">
            <x15:dbTables>
              <x15:dbTable name="Ventas"/>
            </x15:dbTables>
          </x15:oledbPr>
        </x15:connection>
      </ext>
    </extLst>
  </connection>
  <connection id="5" xr16:uid="{740E5EB1-273C-43AC-A6C1-B79DCA26E562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<sst xmlns="http://schemas.openxmlformats.org/spreadsheetml/2006/main" count="4" uniqueCount="4">
  <si>
    <t>Dashboard de Ventas</t>
  </si>
  <si>
    <t>Unidades Vendidas</t>
  </si>
  <si>
    <t>Ingreso en $us</t>
  </si>
  <si>
    <t>Pedidos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</si>
</sst>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Table" Target="pivotTables/pivotTable1.xml"/><Relationship Id="rId18" Type="http://schemas.openxmlformats.org/officeDocument/2006/relationships/pivotTable" Target="pivotTables/pivotTable6.xml"/><Relationship Id="rId26" Type="http://schemas.openxmlformats.org/officeDocument/2006/relationships/customXml" Target="../customXml/item2.xml"/><Relationship Id="rId39" Type="http://schemas.openxmlformats.org/officeDocument/2006/relationships/customXml" Target="../customXml/item15.xml"/><Relationship Id="rId21" Type="http://schemas.openxmlformats.org/officeDocument/2006/relationships/connections" Target="connections.xml"/><Relationship Id="rId34" Type="http://schemas.openxmlformats.org/officeDocument/2006/relationships/customXml" Target="../customXml/item10.xml"/><Relationship Id="rId42" Type="http://schemas.openxmlformats.org/officeDocument/2006/relationships/customXml" Target="../customXml/item18.xml"/><Relationship Id="rId47" Type="http://schemas.openxmlformats.org/officeDocument/2006/relationships/customXml" Target="../customXml/item23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Table" Target="pivotTables/pivotTable4.xml"/><Relationship Id="rId29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ivotCacheDefinition" Target="pivotCache/pivotCacheDefinition9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8.xml"/><Relationship Id="rId37" Type="http://schemas.openxmlformats.org/officeDocument/2006/relationships/customXml" Target="../customXml/item13.xml"/><Relationship Id="rId40" Type="http://schemas.openxmlformats.org/officeDocument/2006/relationships/customXml" Target="../customXml/item16.xml"/><Relationship Id="rId45" Type="http://schemas.openxmlformats.org/officeDocument/2006/relationships/customXml" Target="../customXml/item21.xml"/><Relationship Id="rId5" Type="http://schemas.openxmlformats.org/officeDocument/2006/relationships/pivotCacheDefinition" Target="pivotCache/pivotCacheDefinition3.xml"/><Relationship Id="rId15" Type="http://schemas.openxmlformats.org/officeDocument/2006/relationships/pivotTable" Target="pivotTables/pivotTable3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4.xml"/><Relationship Id="rId36" Type="http://schemas.openxmlformats.org/officeDocument/2006/relationships/customXml" Target="../customXml/item12.xml"/><Relationship Id="rId10" Type="http://schemas.openxmlformats.org/officeDocument/2006/relationships/pivotCacheDefinition" Target="pivotCache/pivotCacheDefinition8.xml"/><Relationship Id="rId19" Type="http://schemas.openxmlformats.org/officeDocument/2006/relationships/pivotTable" Target="pivotTables/pivotTable7.xml"/><Relationship Id="rId31" Type="http://schemas.openxmlformats.org/officeDocument/2006/relationships/customXml" Target="../customXml/item7.xml"/><Relationship Id="rId44" Type="http://schemas.openxmlformats.org/officeDocument/2006/relationships/customXml" Target="../customXml/item20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pivotTable" Target="pivotTables/pivotTable2.xml"/><Relationship Id="rId22" Type="http://schemas.openxmlformats.org/officeDocument/2006/relationships/styles" Target="styles.xml"/><Relationship Id="rId27" Type="http://schemas.openxmlformats.org/officeDocument/2006/relationships/customXml" Target="../customXml/item3.xml"/><Relationship Id="rId30" Type="http://schemas.openxmlformats.org/officeDocument/2006/relationships/customXml" Target="../customXml/item6.xml"/><Relationship Id="rId35" Type="http://schemas.openxmlformats.org/officeDocument/2006/relationships/customXml" Target="../customXml/item11.xml"/><Relationship Id="rId43" Type="http://schemas.openxmlformats.org/officeDocument/2006/relationships/customXml" Target="../customXml/item19.xml"/><Relationship Id="rId8" Type="http://schemas.openxmlformats.org/officeDocument/2006/relationships/pivotCacheDefinition" Target="pivotCache/pivotCacheDefinition6.xml"/><Relationship Id="rId3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10.xml"/><Relationship Id="rId17" Type="http://schemas.openxmlformats.org/officeDocument/2006/relationships/pivotTable" Target="pivotTables/pivotTable5.xml"/><Relationship Id="rId25" Type="http://schemas.openxmlformats.org/officeDocument/2006/relationships/customXml" Target="../customXml/item1.xml"/><Relationship Id="rId33" Type="http://schemas.openxmlformats.org/officeDocument/2006/relationships/customXml" Target="../customXml/item9.xml"/><Relationship Id="rId38" Type="http://schemas.openxmlformats.org/officeDocument/2006/relationships/customXml" Target="../customXml/item14.xml"/><Relationship Id="rId46" Type="http://schemas.openxmlformats.org/officeDocument/2006/relationships/customXml" Target="../customXml/item22.xml"/><Relationship Id="rId20" Type="http://schemas.openxmlformats.org/officeDocument/2006/relationships/theme" Target="theme/theme1.xml"/><Relationship Id="rId41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Ingresos en $us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enero</c:v>
              </c:pt>
              <c:pt idx="1">
                <c:v>febrero</c:v>
              </c:pt>
              <c:pt idx="2">
                <c:v>marzo</c:v>
              </c:pt>
            </c:strLit>
          </c:cat>
          <c:val>
            <c:numLit>
              <c:formatCode>General</c:formatCode>
              <c:ptCount val="3"/>
              <c:pt idx="0">
                <c:v>14700972.509999946</c:v>
              </c:pt>
              <c:pt idx="1">
                <c:v>19350607.499999445</c:v>
              </c:pt>
              <c:pt idx="2">
                <c:v>33712642.530000545</c:v>
              </c:pt>
            </c:numLit>
          </c:val>
          <c:extLst>
            <c:ext xmlns:c16="http://schemas.microsoft.com/office/drawing/2014/chart" uri="{C3380CC4-5D6E-409C-BE32-E72D297353CC}">
              <c16:uniqueId val="{00000002-BA24-4889-B341-83845F5904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4925632"/>
        <c:axId val="624938592"/>
      </c:barChart>
      <c:catAx>
        <c:axId val="624925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24938592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62493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24925632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extLst>
    <c:ext xmlns:c15="http://schemas.microsoft.com/office/drawing/2012/chart" uri="{723BEF56-08C2-4564-9609-F4CBC75E7E54}">
      <c15:pivotSource>
        <c15:name>[Reporte Ventas.xlsx]PivotChartTable1</c15:name>
        <c15:fmtId val="0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$us</a:t>
            </a:r>
            <a:r>
              <a:rPr lang="en-US" baseline="0"/>
              <a:t> por Marca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Pomum</c:v>
              </c:pt>
              <c:pt idx="1">
                <c:v>Palma</c:v>
              </c:pt>
              <c:pt idx="2">
                <c:v>Leo</c:v>
              </c:pt>
              <c:pt idx="3">
                <c:v>Victoria</c:v>
              </c:pt>
              <c:pt idx="4">
                <c:v>Quibus</c:v>
              </c:pt>
              <c:pt idx="5">
                <c:v>Fama</c:v>
              </c:pt>
              <c:pt idx="6">
                <c:v>Abbas</c:v>
              </c:pt>
              <c:pt idx="7">
                <c:v>Pirum</c:v>
              </c:pt>
              <c:pt idx="8">
                <c:v>Currus</c:v>
              </c:pt>
              <c:pt idx="9">
                <c:v>Aliqui</c:v>
              </c:pt>
              <c:pt idx="10">
                <c:v>Natura</c:v>
              </c:pt>
              <c:pt idx="11">
                <c:v>VanArsdel</c:v>
              </c:pt>
            </c:strLit>
          </c:cat>
          <c:val>
            <c:numLit>
              <c:formatCode>General</c:formatCode>
              <c:ptCount val="12"/>
              <c:pt idx="0">
                <c:v>113817.68999999997</c:v>
              </c:pt>
              <c:pt idx="1">
                <c:v>241869.60000000006</c:v>
              </c:pt>
              <c:pt idx="2">
                <c:v>428015.06999999972</c:v>
              </c:pt>
              <c:pt idx="3">
                <c:v>535073.48999999941</c:v>
              </c:pt>
              <c:pt idx="4">
                <c:v>1114142.3999999964</c:v>
              </c:pt>
              <c:pt idx="5">
                <c:v>1336069.3500000008</c:v>
              </c:pt>
              <c:pt idx="6">
                <c:v>2372296.4999999981</c:v>
              </c:pt>
              <c:pt idx="7">
                <c:v>6089258.0700000944</c:v>
              </c:pt>
              <c:pt idx="8">
                <c:v>7090882.4700001394</c:v>
              </c:pt>
              <c:pt idx="9">
                <c:v>10200071.69999993</c:v>
              </c:pt>
              <c:pt idx="10">
                <c:v>11520864.180000002</c:v>
              </c:pt>
              <c:pt idx="11">
                <c:v>26721862.019999921</c:v>
              </c:pt>
            </c:numLit>
          </c:val>
          <c:extLst>
            <c:ext xmlns:c16="http://schemas.microsoft.com/office/drawing/2014/chart" uri="{C3380CC4-5D6E-409C-BE32-E72D297353CC}">
              <c16:uniqueId val="{00000000-3534-456E-B7F3-87BEDC372D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02356399"/>
        <c:axId val="202368399"/>
      </c:barChart>
      <c:catAx>
        <c:axId val="20235639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2368399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202368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2356399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extLst>
    <c:ext xmlns:c15="http://schemas.microsoft.com/office/drawing/2012/chart" uri="{723BEF56-08C2-4564-9609-F4CBC75E7E54}">
      <c15:pivotSource>
        <c15:name>[Reporte Ventas.xlsx]PivotChartTable2</c15:name>
        <c15:fmtId val="0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Pedidos Completados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98B-40F2-811D-3EEF3ACDF8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98B-40F2-811D-3EEF3ACDF8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No</c:v>
              </c:pt>
              <c:pt idx="1">
                <c:v>Si</c:v>
              </c:pt>
            </c:strLit>
          </c:cat>
          <c:val>
            <c:numLit>
              <c:formatCode>General</c:formatCode>
              <c:ptCount val="2"/>
              <c:pt idx="0">
                <c:v>12095</c:v>
              </c:pt>
              <c:pt idx="1">
                <c:v>1628</c:v>
              </c:pt>
            </c:numLit>
          </c:val>
          <c:extLst>
            <c:ext xmlns:c16="http://schemas.microsoft.com/office/drawing/2014/chart" uri="{C3380CC4-5D6E-409C-BE32-E72D297353CC}">
              <c16:uniqueId val="{00000000-FC29-45B5-8CED-A172CDDCF1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extLst>
    <c:ext xmlns:c15="http://schemas.microsoft.com/office/drawing/2012/chart" uri="{723BEF56-08C2-4564-9609-F4CBC75E7E54}">
      <c15:pivotSource>
        <c15:name>[Reporte Ventas.xlsx]PivotChartTable3</c15:name>
        <c15:fmtId val="0"/>
      </c15:pivotSource>
      <c15:pivotOptions>
        <c15:dropZoneFilter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de Productos con Mayores Ingresos $us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Aliqui UC-21</c:v>
              </c:pt>
              <c:pt idx="1">
                <c:v>Aliqui UE-06</c:v>
              </c:pt>
              <c:pt idx="2">
                <c:v>Maximus UC-69</c:v>
              </c:pt>
              <c:pt idx="3">
                <c:v>Natura UM-22</c:v>
              </c:pt>
              <c:pt idx="4">
                <c:v>Maximus UC-30</c:v>
              </c:pt>
              <c:pt idx="5">
                <c:v>Maximus UM-80</c:v>
              </c:pt>
              <c:pt idx="6">
                <c:v>Maximus UC-41</c:v>
              </c:pt>
              <c:pt idx="7">
                <c:v>Maximus UC-39</c:v>
              </c:pt>
              <c:pt idx="8">
                <c:v>Maximus UM-01</c:v>
              </c:pt>
              <c:pt idx="9">
                <c:v>Maximus UC-74</c:v>
              </c:pt>
            </c:strLit>
          </c:cat>
          <c:val>
            <c:numLit>
              <c:formatCode>General</c:formatCode>
              <c:ptCount val="10"/>
              <c:pt idx="0">
                <c:v>1054268.4599999997</c:v>
              </c:pt>
              <c:pt idx="1">
                <c:v>1164094.4700000018</c:v>
              </c:pt>
              <c:pt idx="2">
                <c:v>1180276.6499999994</c:v>
              </c:pt>
              <c:pt idx="3">
                <c:v>1305979.9200000018</c:v>
              </c:pt>
              <c:pt idx="4">
                <c:v>1451066.4000000022</c:v>
              </c:pt>
              <c:pt idx="5">
                <c:v>1595673.4499999979</c:v>
              </c:pt>
              <c:pt idx="6">
                <c:v>1919603.7000000055</c:v>
              </c:pt>
              <c:pt idx="7">
                <c:v>2317675.5000000005</c:v>
              </c:pt>
              <c:pt idx="8">
                <c:v>2503156.9499999993</c:v>
              </c:pt>
              <c:pt idx="9">
                <c:v>3221920.799999998</c:v>
              </c:pt>
            </c:numLit>
          </c:val>
          <c:extLst>
            <c:ext xmlns:c16="http://schemas.microsoft.com/office/drawing/2014/chart" uri="{C3380CC4-5D6E-409C-BE32-E72D297353CC}">
              <c16:uniqueId val="{00000000-60B4-4E11-838C-2A2B43EB31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509677311"/>
        <c:axId val="509677791"/>
      </c:barChart>
      <c:catAx>
        <c:axId val="50967731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09677791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509677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09677311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extLst>
    <c:ext xmlns:c15="http://schemas.microsoft.com/office/drawing/2012/chart" uri="{723BEF56-08C2-4564-9609-F4CBC75E7E54}">
      <c15:pivotSource>
        <c15:name>[Reporte Ventas.xlsx]PivotChartTable4</c15:name>
        <c15:fmtId val="0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de Productos con más unidades vendidas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Natura RP-73</c:v>
              </c:pt>
              <c:pt idx="1">
                <c:v>Natura RP-74</c:v>
              </c:pt>
              <c:pt idx="2">
                <c:v>Aliqui UC-07</c:v>
              </c:pt>
              <c:pt idx="3">
                <c:v>Maximus UC-41</c:v>
              </c:pt>
              <c:pt idx="4">
                <c:v>Maximus UC-69</c:v>
              </c:pt>
              <c:pt idx="5">
                <c:v>Maximus UC-39</c:v>
              </c:pt>
              <c:pt idx="6">
                <c:v>Aliqui UE-06</c:v>
              </c:pt>
              <c:pt idx="7">
                <c:v>Maximus UM-01</c:v>
              </c:pt>
              <c:pt idx="8">
                <c:v>Aliqui UC-36</c:v>
              </c:pt>
              <c:pt idx="9">
                <c:v>Maximus UC-74</c:v>
              </c:pt>
            </c:strLit>
          </c:cat>
          <c:val>
            <c:numLit>
              <c:formatCode>General</c:formatCode>
              <c:ptCount val="10"/>
              <c:pt idx="0">
                <c:v>171</c:v>
              </c:pt>
              <c:pt idx="1">
                <c:v>171</c:v>
              </c:pt>
              <c:pt idx="2">
                <c:v>186</c:v>
              </c:pt>
              <c:pt idx="3">
                <c:v>198</c:v>
              </c:pt>
              <c:pt idx="4">
                <c:v>213</c:v>
              </c:pt>
              <c:pt idx="5">
                <c:v>230</c:v>
              </c:pt>
              <c:pt idx="6">
                <c:v>231</c:v>
              </c:pt>
              <c:pt idx="7">
                <c:v>241</c:v>
              </c:pt>
              <c:pt idx="8">
                <c:v>262</c:v>
              </c:pt>
              <c:pt idx="9">
                <c:v>335</c:v>
              </c:pt>
            </c:numLit>
          </c:val>
          <c:extLst>
            <c:ext xmlns:c16="http://schemas.microsoft.com/office/drawing/2014/chart" uri="{C3380CC4-5D6E-409C-BE32-E72D297353CC}">
              <c16:uniqueId val="{00000000-9997-48DA-AAC7-54EDA6BC17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648508159"/>
        <c:axId val="648506239"/>
      </c:barChart>
      <c:catAx>
        <c:axId val="64850815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8506239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648506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8508159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extLst>
    <c:ext xmlns:c15="http://schemas.microsoft.com/office/drawing/2012/chart" uri="{723BEF56-08C2-4564-9609-F4CBC75E7E54}">
      <c15:pivotSource>
        <c15:name>[Reporte Ventas.xlsx]PivotChartTable5</c15:name>
        <c15:fmtId val="0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Ingresos en</a:t>
            </a:r>
            <a:r>
              <a:rPr lang="en-US" baseline="0"/>
              <a:t> $us por Estados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NY</c:v>
              </c:pt>
              <c:pt idx="1">
                <c:v>TX</c:v>
              </c:pt>
            </c:strLit>
          </c:cat>
          <c:val>
            <c:numLit>
              <c:formatCode>General</c:formatCode>
              <c:ptCount val="2"/>
              <c:pt idx="0">
                <c:v>24860668.139999054</c:v>
              </c:pt>
              <c:pt idx="1">
                <c:v>42903554.399999343</c:v>
              </c:pt>
            </c:numLit>
          </c:val>
          <c:extLst>
            <c:ext xmlns:c16="http://schemas.microsoft.com/office/drawing/2014/chart" uri="{C3380CC4-5D6E-409C-BE32-E72D297353CC}">
              <c16:uniqueId val="{00000000-7DDC-47B7-A676-15D71ACAAF5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extLst>
    <c:ext xmlns:c15="http://schemas.microsoft.com/office/drawing/2012/chart" uri="{723BEF56-08C2-4564-9609-F4CBC75E7E54}">
      <c15:pivotSource>
        <c15:name>[Reporte Ventas.xlsx]PivotChartTable6</c15:name>
        <c15:fmtId val="0"/>
      </c15:pivotSource>
      <c15:pivotOptions>
        <c15:dropZoneFilter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Ingresos en $us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Urban</c:v>
              </c:pt>
              <c:pt idx="1">
                <c:v>Rural</c:v>
              </c:pt>
              <c:pt idx="2">
                <c:v>Mix</c:v>
              </c:pt>
              <c:pt idx="3">
                <c:v>Youth</c:v>
              </c:pt>
            </c:strLit>
          </c:cat>
          <c:val>
            <c:numLit>
              <c:formatCode>General</c:formatCode>
              <c:ptCount val="4"/>
              <c:pt idx="0">
                <c:v>55936855.800001889</c:v>
              </c:pt>
              <c:pt idx="1">
                <c:v>10332837.900000006</c:v>
              </c:pt>
              <c:pt idx="2">
                <c:v>1151745.8399999999</c:v>
              </c:pt>
              <c:pt idx="3">
                <c:v>342782.99999999959</c:v>
              </c:pt>
            </c:numLit>
          </c:val>
          <c:extLst>
            <c:ext xmlns:c16="http://schemas.microsoft.com/office/drawing/2014/chart" uri="{C3380CC4-5D6E-409C-BE32-E72D297353CC}">
              <c16:uniqueId val="{00000000-3632-4319-BC1E-9DEA48569C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3335647"/>
        <c:axId val="1213333247"/>
      </c:barChart>
      <c:catAx>
        <c:axId val="12133356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3333247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21333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3335647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extLst>
    <c:ext xmlns:c15="http://schemas.microsoft.com/office/drawing/2012/chart" uri="{723BEF56-08C2-4564-9609-F4CBC75E7E54}">
      <c15:pivotSource>
        <c15:name>[Reporte Ventas.xlsx]PivotChartTable7</c15:name>
        <c15:fmtId val="0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8283</xdr:colOff>
      <xdr:row>7</xdr:row>
      <xdr:rowOff>16056</xdr:rowOff>
    </xdr:from>
    <xdr:to>
      <xdr:col>4</xdr:col>
      <xdr:colOff>604630</xdr:colOff>
      <xdr:row>21</xdr:row>
      <xdr:rowOff>92256</xdr:rowOff>
    </xdr:to>
    <xdr:graphicFrame macro="">
      <xdr:nvGraphicFramePr>
        <xdr:cNvPr id="2" name="Ingresos x Mes">
          <a:extLst>
            <a:ext uri="{FF2B5EF4-FFF2-40B4-BE49-F238E27FC236}">
              <a16:creationId xmlns:a16="http://schemas.microsoft.com/office/drawing/2014/main" id="{E48AA9A9-2C3F-3B90-686B-2C9D015960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871768</xdr:colOff>
      <xdr:row>7</xdr:row>
      <xdr:rowOff>10640</xdr:rowOff>
    </xdr:from>
    <xdr:to>
      <xdr:col>10</xdr:col>
      <xdr:colOff>398112</xdr:colOff>
      <xdr:row>21</xdr:row>
      <xdr:rowOff>86840</xdr:rowOff>
    </xdr:to>
    <xdr:graphicFrame macro="">
      <xdr:nvGraphicFramePr>
        <xdr:cNvPr id="3" name="Ventas x Marca">
          <a:extLst>
            <a:ext uri="{FF2B5EF4-FFF2-40B4-BE49-F238E27FC236}">
              <a16:creationId xmlns:a16="http://schemas.microsoft.com/office/drawing/2014/main" id="{4F388913-78F5-2179-ACB0-E40384C240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75135</xdr:colOff>
      <xdr:row>7</xdr:row>
      <xdr:rowOff>31119</xdr:rowOff>
    </xdr:from>
    <xdr:to>
      <xdr:col>19</xdr:col>
      <xdr:colOff>2958</xdr:colOff>
      <xdr:row>21</xdr:row>
      <xdr:rowOff>107319</xdr:rowOff>
    </xdr:to>
    <xdr:graphicFrame macro="">
      <xdr:nvGraphicFramePr>
        <xdr:cNvPr id="4" name="Pedidos Completados">
          <a:extLst>
            <a:ext uri="{FF2B5EF4-FFF2-40B4-BE49-F238E27FC236}">
              <a16:creationId xmlns:a16="http://schemas.microsoft.com/office/drawing/2014/main" id="{BF33199A-3DE8-9DF9-028E-FD5A812203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20705</xdr:colOff>
      <xdr:row>23</xdr:row>
      <xdr:rowOff>11595</xdr:rowOff>
    </xdr:from>
    <xdr:to>
      <xdr:col>7</xdr:col>
      <xdr:colOff>49694</xdr:colOff>
      <xdr:row>37</xdr:row>
      <xdr:rowOff>87795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A9F676C-2B0D-1436-AF49-41BCABD6B4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280986</xdr:colOff>
      <xdr:row>23</xdr:row>
      <xdr:rowOff>4762</xdr:rowOff>
    </xdr:from>
    <xdr:to>
      <xdr:col>18</xdr:col>
      <xdr:colOff>19049</xdr:colOff>
      <xdr:row>37</xdr:row>
      <xdr:rowOff>80962</xdr:rowOff>
    </xdr:to>
    <xdr:graphicFrame macro="">
      <xdr:nvGraphicFramePr>
        <xdr:cNvPr id="6" name="Top 10 de productos con mas unidades vendidas">
          <a:extLst>
            <a:ext uri="{FF2B5EF4-FFF2-40B4-BE49-F238E27FC236}">
              <a16:creationId xmlns:a16="http://schemas.microsoft.com/office/drawing/2014/main" id="{5EC37FFC-84CD-31D9-2A17-E5F52EA16A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38100</xdr:colOff>
      <xdr:row>39</xdr:row>
      <xdr:rowOff>52387</xdr:rowOff>
    </xdr:from>
    <xdr:to>
      <xdr:col>3</xdr:col>
      <xdr:colOff>1009650</xdr:colOff>
      <xdr:row>53</xdr:row>
      <xdr:rowOff>128587</xdr:rowOff>
    </xdr:to>
    <xdr:graphicFrame macro="">
      <xdr:nvGraphicFramePr>
        <xdr:cNvPr id="7" name="Porcentaje de ingresos en $us por estados">
          <a:extLst>
            <a:ext uri="{FF2B5EF4-FFF2-40B4-BE49-F238E27FC236}">
              <a16:creationId xmlns:a16="http://schemas.microsoft.com/office/drawing/2014/main" id="{112631F4-8DC7-8509-BE65-4527F93CE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20410</xdr:colOff>
      <xdr:row>39</xdr:row>
      <xdr:rowOff>57150</xdr:rowOff>
    </xdr:from>
    <xdr:to>
      <xdr:col>11</xdr:col>
      <xdr:colOff>306160</xdr:colOff>
      <xdr:row>53</xdr:row>
      <xdr:rowOff>133350</xdr:rowOff>
    </xdr:to>
    <xdr:graphicFrame macro="">
      <xdr:nvGraphicFramePr>
        <xdr:cNvPr id="8" name="Ingreso en $us por categoria">
          <a:extLst>
            <a:ext uri="{FF2B5EF4-FFF2-40B4-BE49-F238E27FC236}">
              <a16:creationId xmlns:a16="http://schemas.microsoft.com/office/drawing/2014/main" id="{02B568ED-64A3-D577-3262-97FD689B5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08.889162731481" backgroundQuery="1" createdVersion="8" refreshedVersion="8" minRefreshableVersion="3" recordCount="0" supportSubquery="1" supportAdvancedDrill="1" xr:uid="{32A7B79E-D6FB-4B93-A031-56B32E0C4E62}">
  <cacheSource type="external" connectionId="5"/>
  <cacheFields count="1">
    <cacheField name="[Measures].[Cantidad de Unidades Vendidas]" caption="Cantidad de Unidades Vendidas" numFmtId="0" hierarchy="26" level="32767"/>
  </cacheFields>
  <cacheHierarchies count="34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0" memberValueDatatype="130" unbalanced="0"/>
    <cacheHierarchy uniqueName="[Calendario].[MesLiteral]" caption="MesLiteral" attribute="1" defaultMemberUniqueName="[Calendario].[MesLiteral].[All]" allUniqueName="[Calendario].[MesLiteral].[All]" dimensionUniqueName="[Calendario]" displayFolder="" count="0" memberValueDatatype="130" unbalanced="0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/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Lugar].[IdLugar]" caption="IdLugar" attribute="1" defaultMemberUniqueName="[Lugar].[IdLugar].[All]" allUniqueName="[Lugar].[IdLugar].[All]" dimensionUniqueName="[Lugar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0" memberValueDatatype="130" unbalanced="0"/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Fecha]" caption="Fecha" attribute="1" time="1" defaultMemberUniqueName="[Ventas].[Fecha].[All]" allUniqueName="[Ventas].[Fecha].[All]" dimensionUniqueName="[Ventas]" displayFolder="" count="0" memberValueDatatype="7" unbalanced="0"/>
    <cacheHierarchy uniqueName="[Ventas].[IdLugar]" caption="IdLugar" attribute="1" defaultMemberUniqueName="[Ventas].[IdLugar].[All]" allUniqueName="[Ventas].[IdLugar].[All]" dimensionUniqueName="[Ventas]" displayFolder="" count="0" memberValueDatatype="130" unbalanced="0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Measures].[Ingreso por Ventas en $us]" caption="Ingreso por Ventas en $us" measure="1" displayFolder="" measureGroup="Ventas" count="0"/>
    <cacheHierarchy uniqueName="[Measures].[Cantidad de Unidades Vendidas]" caption="Cantidad de Unidades Vendidas" measure="1" displayFolder="" measureGroup="Ventas" count="0" oneField="1">
      <fieldsUsage count="1">
        <fieldUsage x="0"/>
      </fieldsUsage>
    </cacheHierarchy>
    <cacheHierarchy uniqueName="[Measures].[Pedidos Completados]" caption="Pedidos Completados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Suma de Mes]" caption="Suma de Mes" measure="1" displayFolder="" measureGroup="Calendari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08.889470254631" backgroundQuery="1" createdVersion="8" refreshedVersion="8" minRefreshableVersion="3" recordCount="0" supportSubquery="1" supportAdvancedDrill="1" xr:uid="{B5739BD0-4A01-4693-A887-DFB60A5DEBA0}">
  <cacheSource type="external" connectionId="5"/>
  <cacheFields count="1">
    <cacheField name="[Measures].[Ingreso por Ventas en $us]" caption="Ingreso por Ventas en $us" numFmtId="0" hierarchy="25" level="32767"/>
  </cacheFields>
  <cacheHierarchies count="34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0" memberValueDatatype="130" unbalanced="0"/>
    <cacheHierarchy uniqueName="[Calendario].[MesLiteral]" caption="MesLiteral" attribute="1" defaultMemberUniqueName="[Calendario].[MesLiteral].[All]" allUniqueName="[Calendario].[MesLiteral].[All]" dimensionUniqueName="[Calendario]" displayFolder="" count="0" memberValueDatatype="130" unbalanced="0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/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Lugar].[IdLugar]" caption="IdLugar" attribute="1" defaultMemberUniqueName="[Lugar].[IdLugar].[All]" allUniqueName="[Lugar].[IdLugar].[All]" dimensionUniqueName="[Lugar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0" memberValueDatatype="130" unbalanced="0"/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Fecha]" caption="Fecha" attribute="1" time="1" defaultMemberUniqueName="[Ventas].[Fecha].[All]" allUniqueName="[Ventas].[Fecha].[All]" dimensionUniqueName="[Ventas]" displayFolder="" count="0" memberValueDatatype="7" unbalanced="0"/>
    <cacheHierarchy uniqueName="[Ventas].[IdLugar]" caption="IdLugar" attribute="1" defaultMemberUniqueName="[Ventas].[IdLugar].[All]" allUniqueName="[Ventas].[IdLugar].[All]" dimensionUniqueName="[Ventas]" displayFolder="" count="0" memberValueDatatype="130" unbalanced="0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Measures].[Ingreso por Ventas en $us]" caption="Ingreso por Ventas en $us" measure="1" displayFolder="" measureGroup="Ventas" count="0" oneField="1">
      <fieldsUsage count="1">
        <fieldUsage x="0"/>
      </fieldsUsage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Suma de Mes]" caption="Suma de Mes" measure="1" displayFolder="" measureGroup="Calendari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08.890205208336" backgroundQuery="1" createdVersion="8" refreshedVersion="8" minRefreshableVersion="3" recordCount="0" supportSubquery="1" supportAdvancedDrill="1" xr:uid="{8C0DF4E2-02DA-4545-9DB5-7D7A89CCD245}">
  <cacheSource type="external" connectionId="5"/>
  <cacheFields count="1">
    <cacheField name="[Measures].[Pedidos Completados]" caption="Pedidos Completados" numFmtId="0" hierarchy="27" level="32767"/>
  </cacheFields>
  <cacheHierarchies count="34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0" memberValueDatatype="130" unbalanced="0"/>
    <cacheHierarchy uniqueName="[Calendario].[MesLiteral]" caption="MesLiteral" attribute="1" defaultMemberUniqueName="[Calendario].[MesLiteral].[All]" allUniqueName="[Calendario].[MesLiteral].[All]" dimensionUniqueName="[Calendario]" displayFolder="" count="0" memberValueDatatype="130" unbalanced="0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/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Lugar].[IdLugar]" caption="IdLugar" attribute="1" defaultMemberUniqueName="[Lugar].[IdLugar].[All]" allUniqueName="[Lugar].[IdLugar].[All]" dimensionUniqueName="[Lugar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0" memberValueDatatype="130" unbalanced="0"/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Fecha]" caption="Fecha" attribute="1" time="1" defaultMemberUniqueName="[Ventas].[Fecha].[All]" allUniqueName="[Ventas].[Fecha].[All]" dimensionUniqueName="[Ventas]" displayFolder="" count="0" memberValueDatatype="7" unbalanced="0"/>
    <cacheHierarchy uniqueName="[Ventas].[IdLugar]" caption="IdLugar" attribute="1" defaultMemberUniqueName="[Ventas].[IdLugar].[All]" allUniqueName="[Ventas].[IdLugar].[All]" dimensionUniqueName="[Ventas]" displayFolder="" count="0" memberValueDatatype="130" unbalanced="0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Measures].[Ingreso por Ventas en $us]" caption="Ingreso por Ventas en $us" measure="1" displayFolder="" measureGroup="Ventas" count="0"/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 oneField="1">
      <fieldsUsage count="1">
        <fieldUsage x="0"/>
      </fieldsUsage>
    </cacheHierarchy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Suma de Mes]" caption="Suma de Mes" measure="1" displayFolder="" measureGroup="Calendari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04.915373842596" backgroundQuery="1" createdVersion="8" refreshedVersion="8" minRefreshableVersion="3" recordCount="0" supportSubquery="1" supportAdvancedDrill="1" xr:uid="{1D8D4FCE-5923-4B4E-BA57-5A5124698245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Calendario].[MesLiteral].[MesLiteral]" caption="MesLiteral" numFmtId="0" hierarchy="5" level="1">
      <sharedItems count="3">
        <s v="enero"/>
        <s v="febrero"/>
        <s v="marzo"/>
      </sharedItems>
    </cacheField>
    <cacheField name="[Measures].[Ingreso por Ventas en $us]" caption="Ingreso por Ventas en $us" numFmtId="0" hierarchy="25" level="32767"/>
  </cacheFields>
  <cacheHierarchies count="34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0" memberValueDatatype="130" unbalanced="0"/>
    <cacheHierarchy uniqueName="[Calendario].[MesLiteral]" caption="MesLiteral" attribute="1" defaultMemberUniqueName="[Calendario].[MesLiteral].[All]" allUniqueName="[Calendario].[MesLiteral].[All]" dimensionUniqueName="[Calendario]" displayFolder="" count="2" memberValueDatatype="130" unbalanced="0">
      <fieldsUsage count="2">
        <fieldUsage x="-1"/>
        <fieldUsage x="0"/>
      </fieldsUsage>
    </cacheHierarchy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/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Lugar].[IdLugar]" caption="IdLugar" attribute="1" defaultMemberUniqueName="[Lugar].[IdLugar].[All]" allUniqueName="[Lugar].[IdLugar].[All]" dimensionUniqueName="[Lugar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0" memberValueDatatype="130" unbalanced="0"/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Fecha]" caption="Fecha" attribute="1" time="1" defaultMemberUniqueName="[Ventas].[Fecha].[All]" allUniqueName="[Ventas].[Fecha].[All]" dimensionUniqueName="[Ventas]" displayFolder="" count="0" memberValueDatatype="7" unbalanced="0"/>
    <cacheHierarchy uniqueName="[Ventas].[IdLugar]" caption="IdLugar" attribute="1" defaultMemberUniqueName="[Ventas].[IdLugar].[All]" allUniqueName="[Ventas].[IdLugar].[All]" dimensionUniqueName="[Ventas]" displayFolder="" count="0" memberValueDatatype="130" unbalanced="0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Measures].[Ingreso por Ventas en $us]" caption="Ingreso por Ventas en $us" measure="1" displayFolder="" measureGroup="Ventas" count="0" oneField="1">
      <fieldsUsage count="1">
        <fieldUsage x="1"/>
      </fieldsUsage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Suma de Mes]" caption="Suma de Mes" measure="1" displayFolder="" measureGroup="Calendari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104851998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04.918820601852" backgroundQuery="1" createdVersion="8" refreshedVersion="8" minRefreshableVersion="3" recordCount="0" supportSubquery="1" supportAdvancedDrill="1" xr:uid="{D04FBC7E-2005-4020-AC5C-9FE26AC696C0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Measures].[Pedidos Completados]" caption="Pedidos Completados" numFmtId="0" hierarchy="27" level="32767"/>
    <cacheField name="[Ventas].[Completado].[Completado]" caption="Completado" numFmtId="0" hierarchy="24" level="1">
      <sharedItems count="2">
        <s v="No"/>
        <s v="Si"/>
      </sharedItems>
    </cacheField>
  </cacheFields>
  <cacheHierarchies count="34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0" memberValueDatatype="130" unbalanced="0"/>
    <cacheHierarchy uniqueName="[Calendario].[MesLiteral]" caption="MesLiteral" attribute="1" defaultMemberUniqueName="[Calendario].[MesLiteral].[All]" allUniqueName="[Calendario].[MesLiteral].[All]" dimensionUniqueName="[Calendario]" displayFolder="" count="0" memberValueDatatype="130" unbalanced="0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/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Lugar].[IdLugar]" caption="IdLugar" attribute="1" defaultMemberUniqueName="[Lugar].[IdLugar].[All]" allUniqueName="[Lugar].[IdLugar].[All]" dimensionUniqueName="[Lugar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0" memberValueDatatype="130" unbalanced="0"/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Fecha]" caption="Fecha" attribute="1" time="1" defaultMemberUniqueName="[Ventas].[Fecha].[All]" allUniqueName="[Ventas].[Fecha].[All]" dimensionUniqueName="[Ventas]" displayFolder="" count="0" memberValueDatatype="7" unbalanced="0"/>
    <cacheHierarchy uniqueName="[Ventas].[IdLugar]" caption="IdLugar" attribute="1" defaultMemberUniqueName="[Ventas].[IdLugar].[All]" allUniqueName="[Ventas].[IdLugar].[All]" dimensionUniqueName="[Ventas]" displayFolder="" count="0" memberValueDatatype="130" unbalanced="0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2" memberValueDatatype="130" unbalanced="0">
      <fieldsUsage count="2">
        <fieldUsage x="-1"/>
        <fieldUsage x="1"/>
      </fieldsUsage>
    </cacheHierarchy>
    <cacheHierarchy uniqueName="[Measures].[Ingreso por Ventas en $us]" caption="Ingreso por Ventas en $us" measure="1" displayFolder="" measureGroup="Ventas" count="0"/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 oneField="1">
      <fieldsUsage count="1">
        <fieldUsage x="0"/>
      </fieldsUsage>
    </cacheHierarchy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Suma de Mes]" caption="Suma de Mes" measure="1" displayFolder="" measureGroup="Calendari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26008080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08.832263888886" backgroundQuery="1" createdVersion="8" refreshedVersion="8" minRefreshableVersion="3" recordCount="0" supportSubquery="1" supportAdvancedDrill="1" xr:uid="{744C300C-3FFA-4898-A3A5-3022BEEB4CA9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Measures].[Ingreso por Ventas en $us]" caption="Ingreso por Ventas en $us" numFmtId="0" hierarchy="25" level="32767"/>
    <cacheField name="[Producto].[Marca].[Marca]" caption="Marca" numFmtId="0" hierarchy="17" level="1">
      <sharedItems count="12">
        <s v="Abbas"/>
        <s v="Aliqui"/>
        <s v="Currus"/>
        <s v="Fama"/>
        <s v="Leo"/>
        <s v="Natura"/>
        <s v="Palma"/>
        <s v="Pirum"/>
        <s v="Pomum"/>
        <s v="Quibus"/>
        <s v="VanArsdel"/>
        <s v="Victoria"/>
      </sharedItems>
    </cacheField>
  </cacheFields>
  <cacheHierarchies count="34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0" memberValueDatatype="130" unbalanced="0"/>
    <cacheHierarchy uniqueName="[Calendario].[MesLiteral]" caption="MesLiteral" attribute="1" defaultMemberUniqueName="[Calendario].[MesLiteral].[All]" allUniqueName="[Calendario].[MesLiteral].[All]" dimensionUniqueName="[Calendario]" displayFolder="" count="0" memberValueDatatype="130" unbalanced="0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/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Lugar].[IdLugar]" caption="IdLugar" attribute="1" defaultMemberUniqueName="[Lugar].[IdLugar].[All]" allUniqueName="[Lugar].[IdLugar].[All]" dimensionUniqueName="[Lugar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0" memberValueDatatype="130" unbalanced="0"/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2" memberValueDatatype="130" unbalanced="0">
      <fieldsUsage count="2">
        <fieldUsage x="-1"/>
        <fieldUsage x="1"/>
      </fieldsUsage>
    </cacheHierarchy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Fecha]" caption="Fecha" attribute="1" time="1" defaultMemberUniqueName="[Ventas].[Fecha].[All]" allUniqueName="[Ventas].[Fecha].[All]" dimensionUniqueName="[Ventas]" displayFolder="" count="0" memberValueDatatype="7" unbalanced="0"/>
    <cacheHierarchy uniqueName="[Ventas].[IdLugar]" caption="IdLugar" attribute="1" defaultMemberUniqueName="[Ventas].[IdLugar].[All]" allUniqueName="[Ventas].[IdLugar].[All]" dimensionUniqueName="[Ventas]" displayFolder="" count="0" memberValueDatatype="130" unbalanced="0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Measures].[Ingreso por Ventas en $us]" caption="Ingreso por Ventas en $us" measure="1" displayFolder="" measureGroup="Ventas" count="0" oneField="1">
      <fieldsUsage count="1">
        <fieldUsage x="0"/>
      </fieldsUsage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Suma de Mes]" caption="Suma de Mes" measure="1" displayFolder="" measureGroup="Calendari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108945991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08.861975462962" backgroundQuery="1" createdVersion="8" refreshedVersion="8" minRefreshableVersion="3" recordCount="0" supportSubquery="1" supportAdvancedDrill="1" xr:uid="{A6967489-8F4B-49EF-BCB2-EAAF1E7D6B43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Lugar].[Estado].[Estado]" caption="Estado" numFmtId="0" hierarchy="10" level="1">
      <sharedItems count="2">
        <s v="NY"/>
        <s v="TX"/>
      </sharedItems>
    </cacheField>
    <cacheField name="[Measures].[Ingreso por Ventas en $us]" caption="Ingreso por Ventas en $us" numFmtId="0" hierarchy="25" level="32767"/>
  </cacheFields>
  <cacheHierarchies count="34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0" memberValueDatatype="130" unbalanced="0"/>
    <cacheHierarchy uniqueName="[Calendario].[MesLiteral]" caption="MesLiteral" attribute="1" defaultMemberUniqueName="[Calendario].[MesLiteral].[All]" allUniqueName="[Calendario].[MesLiteral].[All]" dimensionUniqueName="[Calendario]" displayFolder="" count="0" memberValueDatatype="130" unbalanced="0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/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Lugar].[IdLugar]" caption="IdLugar" attribute="1" defaultMemberUniqueName="[Lugar].[IdLugar].[All]" allUniqueName="[Lugar].[IdLugar].[All]" dimensionUniqueName="[Lugar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2" memberValueDatatype="130" unbalanced="0">
      <fieldsUsage count="2">
        <fieldUsage x="-1"/>
        <fieldUsage x="0"/>
      </fieldsUsage>
    </cacheHierarchy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Fecha]" caption="Fecha" attribute="1" time="1" defaultMemberUniqueName="[Ventas].[Fecha].[All]" allUniqueName="[Ventas].[Fecha].[All]" dimensionUniqueName="[Ventas]" displayFolder="" count="0" memberValueDatatype="7" unbalanced="0"/>
    <cacheHierarchy uniqueName="[Ventas].[IdLugar]" caption="IdLugar" attribute="1" defaultMemberUniqueName="[Ventas].[IdLugar].[All]" allUniqueName="[Ventas].[IdLugar].[All]" dimensionUniqueName="[Ventas]" displayFolder="" count="0" memberValueDatatype="130" unbalanced="0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Measures].[Ingreso por Ventas en $us]" caption="Ingreso por Ventas en $us" measure="1" displayFolder="" measureGroup="Ventas" count="0" oneField="1">
      <fieldsUsage count="1">
        <fieldUsage x="1"/>
      </fieldsUsage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Suma de Mes]" caption="Suma de Mes" measure="1" displayFolder="" measureGroup="Calendari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75222624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08.880900810182" backgroundQuery="1" createdVersion="8" refreshedVersion="8" minRefreshableVersion="3" recordCount="0" supportSubquery="1" supportAdvancedDrill="1" xr:uid="{A6F57FDC-7DF4-413C-8BAE-D03E664DDBA2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Measures].[Ingreso por Ventas en $us]" caption="Ingreso por Ventas en $us" numFmtId="0" hierarchy="25" level="32767"/>
    <cacheField name="[Producto].[Categoria].[Categoria]" caption="Categoria" numFmtId="0" hierarchy="16" level="1">
      <sharedItems count="4">
        <s v="Mix"/>
        <s v="Rural"/>
        <s v="Urban"/>
        <s v="Youth"/>
      </sharedItems>
    </cacheField>
  </cacheFields>
  <cacheHierarchies count="34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0" memberValueDatatype="130" unbalanced="0"/>
    <cacheHierarchy uniqueName="[Calendario].[MesLiteral]" caption="MesLiteral" attribute="1" defaultMemberUniqueName="[Calendario].[MesLiteral].[All]" allUniqueName="[Calendario].[MesLiteral].[All]" dimensionUniqueName="[Calendario]" displayFolder="" count="0" memberValueDatatype="130" unbalanced="0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/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Lugar].[IdLugar]" caption="IdLugar" attribute="1" defaultMemberUniqueName="[Lugar].[IdLugar].[All]" allUniqueName="[Lugar].[IdLugar].[All]" dimensionUniqueName="[Lugar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0" memberValueDatatype="130" unbalanced="0"/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2" memberValueDatatype="130" unbalanced="0">
      <fieldsUsage count="2">
        <fieldUsage x="-1"/>
        <fieldUsage x="1"/>
      </fieldsUsage>
    </cacheHierarchy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Fecha]" caption="Fecha" attribute="1" time="1" defaultMemberUniqueName="[Ventas].[Fecha].[All]" allUniqueName="[Ventas].[Fecha].[All]" dimensionUniqueName="[Ventas]" displayFolder="" count="0" memberValueDatatype="7" unbalanced="0"/>
    <cacheHierarchy uniqueName="[Ventas].[IdLugar]" caption="IdLugar" attribute="1" defaultMemberUniqueName="[Ventas].[IdLugar].[All]" allUniqueName="[Ventas].[IdLugar].[All]" dimensionUniqueName="[Ventas]" displayFolder="" count="0" memberValueDatatype="130" unbalanced="0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Measures].[Ingreso por Ventas en $us]" caption="Ingreso por Ventas en $us" measure="1" displayFolder="" measureGroup="Ventas" count="0" oneField="1">
      <fieldsUsage count="1">
        <fieldUsage x="0"/>
      </fieldsUsage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Suma de Mes]" caption="Suma de Mes" measure="1" displayFolder="" measureGroup="Calendari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31354144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08.887372569443" backgroundQuery="1" createdVersion="8" refreshedVersion="8" minRefreshableVersion="3" recordCount="0" supportSubquery="1" supportAdvancedDrill="1" xr:uid="{2F0A1FF9-A2F4-4844-BAD4-9CB86C2AD860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Measures].[Cantidad de Unidades Vendidas]" caption="Cantidad de Unidades Vendidas" numFmtId="0" hierarchy="26" level="32767"/>
    <cacheField name="[Producto].[Producto].[Producto]" caption="Producto" numFmtId="0" hierarchy="15" level="1">
      <sharedItems count="10">
        <s v="Aliqui UC-07"/>
        <s v="Aliqui UC-36"/>
        <s v="Aliqui UE-06"/>
        <s v="Maximus UC-39"/>
        <s v="Maximus UC-41"/>
        <s v="Maximus UC-69"/>
        <s v="Maximus UC-74"/>
        <s v="Maximus UM-01"/>
        <s v="Natura RP-73"/>
        <s v="Natura RP-74"/>
      </sharedItems>
    </cacheField>
  </cacheFields>
  <cacheHierarchies count="34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0" memberValueDatatype="130" unbalanced="0"/>
    <cacheHierarchy uniqueName="[Calendario].[MesLiteral]" caption="MesLiteral" attribute="1" defaultMemberUniqueName="[Calendario].[MesLiteral].[All]" allUniqueName="[Calendario].[MesLiteral].[All]" dimensionUniqueName="[Calendario]" displayFolder="" count="0" memberValueDatatype="130" unbalanced="0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/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Lugar].[IdLugar]" caption="IdLugar" attribute="1" defaultMemberUniqueName="[Lugar].[IdLugar].[All]" allUniqueName="[Lugar].[IdLugar].[All]" dimensionUniqueName="[Lugar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0" memberValueDatatype="130" unbalanced="0"/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2" memberValueDatatype="130" unbalanced="0">
      <fieldsUsage count="2">
        <fieldUsage x="-1"/>
        <fieldUsage x="1"/>
      </fieldsUsage>
    </cacheHierarchy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Fecha]" caption="Fecha" attribute="1" time="1" defaultMemberUniqueName="[Ventas].[Fecha].[All]" allUniqueName="[Ventas].[Fecha].[All]" dimensionUniqueName="[Ventas]" displayFolder="" count="0" memberValueDatatype="7" unbalanced="0"/>
    <cacheHierarchy uniqueName="[Ventas].[IdLugar]" caption="IdLugar" attribute="1" defaultMemberUniqueName="[Ventas].[IdLugar].[All]" allUniqueName="[Ventas].[IdLugar].[All]" dimensionUniqueName="[Ventas]" displayFolder="" count="0" memberValueDatatype="130" unbalanced="0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Measures].[Ingreso por Ventas en $us]" caption="Ingreso por Ventas en $us" measure="1" displayFolder="" measureGroup="Ventas" count="0"/>
    <cacheHierarchy uniqueName="[Measures].[Cantidad de Unidades Vendidas]" caption="Cantidad de Unidades Vendidas" measure="1" displayFolder="" measureGroup="Ventas" count="0" oneField="1">
      <fieldsUsage count="1">
        <fieldUsage x="0"/>
      </fieldsUsage>
    </cacheHierarchy>
    <cacheHierarchy uniqueName="[Measures].[Pedidos Completados]" caption="Pedidos Completados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Suma de Mes]" caption="Suma de Mes" measure="1" displayFolder="" measureGroup="Calendari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163957349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08.887486458334" backgroundQuery="1" createdVersion="8" refreshedVersion="8" minRefreshableVersion="3" recordCount="0" supportSubquery="1" supportAdvancedDrill="1" xr:uid="{1DCBC729-519D-4C98-920B-32E4FE730213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Producto].[Producto].[Producto]" caption="Producto" numFmtId="0" hierarchy="15" level="1">
      <sharedItems count="10">
        <s v="Aliqui UC-21"/>
        <s v="Aliqui UE-06"/>
        <s v="Maximus UC-30"/>
        <s v="Maximus UC-39"/>
        <s v="Maximus UC-41"/>
        <s v="Maximus UC-69"/>
        <s v="Maximus UC-74"/>
        <s v="Maximus UM-01"/>
        <s v="Maximus UM-80"/>
        <s v="Natura UM-22"/>
      </sharedItems>
    </cacheField>
    <cacheField name="[Measures].[Ingreso por Ventas en $us]" caption="Ingreso por Ventas en $us" numFmtId="0" hierarchy="25" level="32767"/>
  </cacheFields>
  <cacheHierarchies count="34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0" memberValueDatatype="130" unbalanced="0"/>
    <cacheHierarchy uniqueName="[Calendario].[MesLiteral]" caption="MesLiteral" attribute="1" defaultMemberUniqueName="[Calendario].[MesLiteral].[All]" allUniqueName="[Calendario].[MesLiteral].[All]" dimensionUniqueName="[Calendario]" displayFolder="" count="0" memberValueDatatype="130" unbalanced="0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/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Lugar].[IdLugar]" caption="IdLugar" attribute="1" defaultMemberUniqueName="[Lugar].[IdLugar].[All]" allUniqueName="[Lugar].[IdLugar].[All]" dimensionUniqueName="[Lugar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0" memberValueDatatype="130" unbalanced="0"/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2" memberValueDatatype="130" unbalanced="0">
      <fieldsUsage count="2">
        <fieldUsage x="-1"/>
        <fieldUsage x="0"/>
      </fieldsUsage>
    </cacheHierarchy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Fecha]" caption="Fecha" attribute="1" time="1" defaultMemberUniqueName="[Ventas].[Fecha].[All]" allUniqueName="[Ventas].[Fecha].[All]" dimensionUniqueName="[Ventas]" displayFolder="" count="0" memberValueDatatype="7" unbalanced="0"/>
    <cacheHierarchy uniqueName="[Ventas].[IdLugar]" caption="IdLugar" attribute="1" defaultMemberUniqueName="[Ventas].[IdLugar].[All]" allUniqueName="[Ventas].[IdLugar].[All]" dimensionUniqueName="[Ventas]" displayFolder="" count="0" memberValueDatatype="130" unbalanced="0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Measures].[Ingreso por Ventas en $us]" caption="Ingreso por Ventas en $us" measure="1" displayFolder="" measureGroup="Ventas" count="0" oneField="1">
      <fieldsUsage count="1">
        <fieldUsage x="1"/>
      </fieldsUsage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Suma de Mes]" caption="Suma de Mes" measure="1" displayFolder="" measureGroup="Calendari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52842067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F41781-1CC8-4E8D-AB28-2ED4488670B9}" name="PivotChartTable7" cacheId="5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1:B6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5">
    <i>
      <x v="2"/>
    </i>
    <i>
      <x v="1"/>
    </i>
    <i>
      <x/>
    </i>
    <i>
      <x v="3"/>
    </i>
    <i t="grand">
      <x/>
    </i>
  </rowItems>
  <colItems count="1">
    <i/>
  </colItems>
  <dataFields count="1">
    <dataField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5" columnCount="1" cacheId="313541443">
        <x15:pivotRow count="1">
          <x15:c>
            <x15:v>55936855.800001889</x15:v>
          </x15:c>
        </x15:pivotRow>
        <x15:pivotRow count="1">
          <x15:c>
            <x15:v>10332837.900000006</x15:v>
          </x15:c>
        </x15:pivotRow>
        <x15:pivotRow count="1">
          <x15:c>
            <x15:v>1151745.8399999999</x15:v>
          </x15:c>
        </x15:pivotRow>
        <x15:pivotRow count="1">
          <x15:c>
            <x15:v>342782.99999999959</x15:v>
          </x15:c>
        </x15:pivotRow>
        <x15:pivotRow count="1">
          <x15:c>
            <x15:v>67764222.539999202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Ventas]"/>
        <x15:activeTabTopLevelEntity name="[Product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338F0D-2AF9-422A-ADBC-CD103E8BD658}" name="PivotChartTable6" cacheId="4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1:B4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3" columnCount="1" cacheId="752226242">
        <x15:pivotRow count="1">
          <x15:c>
            <x15:v>24860668.139999054</x15:v>
          </x15:c>
        </x15:pivotRow>
        <x15:pivotRow count="1">
          <x15:c>
            <x15:v>42903554.399999343</x15:v>
          </x15:c>
        </x15:pivotRow>
        <x15:pivotRow count="1">
          <x15:c>
            <x15:v>67764222.539999202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Lugar]"/>
        <x15:activeTabTopLevelEntity name="[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2FE3C9-B2E9-4BF7-B867-A5362D18DFD5}" name="PivotChartTable5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1:B12" firstHeaderRow="1" firstDataRow="1" firstDataCol="1"/>
  <pivotFields count="2">
    <pivotField dataField="1" subtotalTop="0" showAll="0" defaultSubtotal="0"/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1">
    <i>
      <x v="8"/>
    </i>
    <i>
      <x v="9"/>
    </i>
    <i>
      <x/>
    </i>
    <i>
      <x v="4"/>
    </i>
    <i>
      <x v="5"/>
    </i>
    <i>
      <x v="3"/>
    </i>
    <i>
      <x v="2"/>
    </i>
    <i>
      <x v="7"/>
    </i>
    <i>
      <x v="1"/>
    </i>
    <i>
      <x v="6"/>
    </i>
    <i t="grand">
      <x/>
    </i>
  </rowItems>
  <colItems count="1">
    <i/>
  </colItems>
  <dataFields count="1">
    <dataField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filters count="1">
    <filter fld="1" type="count" id="1" iMeasureHier="26">
      <autoFilter ref="A1">
        <filterColumn colId="0">
          <top10 val="10" filterVal="10"/>
        </filterColumn>
      </autoFilter>
    </filter>
  </filters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1" columnCount="1" cacheId="1639573496">
        <x15:pivotRow count="1">
          <x15:c>
            <x15:v>171</x15:v>
          </x15:c>
        </x15:pivotRow>
        <x15:pivotRow count="1">
          <x15:c>
            <x15:v>171</x15:v>
          </x15:c>
        </x15:pivotRow>
        <x15:pivotRow count="1">
          <x15:c>
            <x15:v>186</x15:v>
          </x15:c>
        </x15:pivotRow>
        <x15:pivotRow count="1">
          <x15:c>
            <x15:v>198</x15:v>
          </x15:c>
        </x15:pivotRow>
        <x15:pivotRow count="1">
          <x15:c>
            <x15:v>213</x15:v>
          </x15:c>
        </x15:pivotRow>
        <x15:pivotRow count="1">
          <x15:c>
            <x15:v>230</x15:v>
          </x15:c>
        </x15:pivotRow>
        <x15:pivotRow count="1">
          <x15:c>
            <x15:v>231</x15:v>
          </x15:c>
        </x15:pivotRow>
        <x15:pivotRow count="1">
          <x15:c>
            <x15:v>241</x15:v>
          </x15:c>
        </x15:pivotRow>
        <x15:pivotRow count="1">
          <x15:c>
            <x15:v>262</x15:v>
          </x15:c>
        </x15:pivotRow>
        <x15:pivotRow count="1">
          <x15:c>
            <x15:v>335</x15:v>
          </x15:c>
        </x15:pivotRow>
        <x15:pivotRow count="1">
          <x15:c>
            <x15:v>2238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Ventas]"/>
        <x15:activeTabTopLevelEntity name="[Product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CF61FE-A89C-4233-B7D0-FB67E8299658}" name="PivotChartTable4" cacheId="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1:B12" firstHeaderRow="1" firstDataRow="1" firstDataCol="1"/>
  <pivotFields count="2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5"/>
    </i>
    <i>
      <x v="9"/>
    </i>
    <i>
      <x v="2"/>
    </i>
    <i>
      <x v="8"/>
    </i>
    <i>
      <x v="4"/>
    </i>
    <i>
      <x v="3"/>
    </i>
    <i>
      <x v="7"/>
    </i>
    <i>
      <x v="6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filters count="1">
    <filter fld="0" type="count" id="1" iMeasureHier="25">
      <autoFilter ref="A1">
        <filterColumn colId="0">
          <top10 val="10" filterVal="10"/>
        </filterColumn>
      </autoFilter>
    </filter>
  </filters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1" columnCount="1" cacheId="528420674">
        <x15:pivotRow count="1">
          <x15:c>
            <x15:v>1054268.4599999997</x15:v>
          </x15:c>
        </x15:pivotRow>
        <x15:pivotRow count="1">
          <x15:c>
            <x15:v>1164094.4700000018</x15:v>
          </x15:c>
        </x15:pivotRow>
        <x15:pivotRow count="1">
          <x15:c>
            <x15:v>1180276.6499999994</x15:v>
          </x15:c>
        </x15:pivotRow>
        <x15:pivotRow count="1">
          <x15:c>
            <x15:v>1305979.9200000018</x15:v>
          </x15:c>
        </x15:pivotRow>
        <x15:pivotRow count="1">
          <x15:c>
            <x15:v>1451066.4000000022</x15:v>
          </x15:c>
        </x15:pivotRow>
        <x15:pivotRow count="1">
          <x15:c>
            <x15:v>1595673.4499999979</x15:v>
          </x15:c>
        </x15:pivotRow>
        <x15:pivotRow count="1">
          <x15:c>
            <x15:v>1919603.7000000055</x15:v>
          </x15:c>
        </x15:pivotRow>
        <x15:pivotRow count="1">
          <x15:c>
            <x15:v>2317675.5000000005</x15:v>
          </x15:c>
        </x15:pivotRow>
        <x15:pivotRow count="1">
          <x15:c>
            <x15:v>2503156.9499999993</x15:v>
          </x15:c>
        </x15:pivotRow>
        <x15:pivotRow count="1">
          <x15:c>
            <x15:v>3221920.799999998</x15:v>
          </x15:c>
        </x15:pivotRow>
        <x15:pivotRow count="1">
          <x15:c>
            <x15:v>17713716.299999997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Producto]"/>
        <x15:activeTabTopLevelEntity name="[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2D48B8-51D5-4F3D-8DCA-1B03A664B6EF}" name="PivotChartTable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1:B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4" columnCount="1" cacheId="1048519985">
        <x15:pivotRow count="1">
          <x15:c>
            <x15:v>14700972.509999946</x15:v>
          </x15:c>
        </x15:pivotRow>
        <x15:pivotRow count="1">
          <x15:c>
            <x15:v>19350607.499999445</x15:v>
          </x15:c>
        </x15:pivotRow>
        <x15:pivotRow count="1">
          <x15:c>
            <x15:v>33712642.530000545</x15:v>
          </x15:c>
        </x15:pivotRow>
        <x15:pivotRow count="1">
          <x15:c>
            <x15:v>67764222.539999202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Calendario]"/>
        <x15:activeTabTopLevelEntity name="[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33B8FD-6E75-49C6-AECA-679EC910E1A7}" name="PivotChartTable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1:B14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3">
    <i>
      <x v="8"/>
    </i>
    <i>
      <x v="6"/>
    </i>
    <i>
      <x v="4"/>
    </i>
    <i>
      <x v="11"/>
    </i>
    <i>
      <x v="9"/>
    </i>
    <i>
      <x v="3"/>
    </i>
    <i>
      <x/>
    </i>
    <i>
      <x v="7"/>
    </i>
    <i>
      <x v="2"/>
    </i>
    <i>
      <x v="1"/>
    </i>
    <i>
      <x v="5"/>
    </i>
    <i>
      <x v="10"/>
    </i>
    <i t="grand">
      <x/>
    </i>
  </rowItems>
  <colItems count="1">
    <i/>
  </colItems>
  <dataFields count="1">
    <dataField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3" columnCount="1" cacheId="1089459912">
        <x15:pivotRow count="1">
          <x15:c>
            <x15:v>113817.68999999997</x15:v>
          </x15:c>
        </x15:pivotRow>
        <x15:pivotRow count="1">
          <x15:c>
            <x15:v>241869.60000000006</x15:v>
          </x15:c>
        </x15:pivotRow>
        <x15:pivotRow count="1">
          <x15:c>
            <x15:v>428015.06999999972</x15:v>
          </x15:c>
        </x15:pivotRow>
        <x15:pivotRow count="1">
          <x15:c>
            <x15:v>535073.48999999941</x15:v>
          </x15:c>
        </x15:pivotRow>
        <x15:pivotRow count="1">
          <x15:c>
            <x15:v>1114142.3999999964</x15:v>
          </x15:c>
        </x15:pivotRow>
        <x15:pivotRow count="1">
          <x15:c>
            <x15:v>1336069.3500000008</x15:v>
          </x15:c>
        </x15:pivotRow>
        <x15:pivotRow count="1">
          <x15:c>
            <x15:v>2372296.4999999981</x15:v>
          </x15:c>
        </x15:pivotRow>
        <x15:pivotRow count="1">
          <x15:c>
            <x15:v>6089258.0700000944</x15:v>
          </x15:c>
        </x15:pivotRow>
        <x15:pivotRow count="1">
          <x15:c>
            <x15:v>7090882.4700001394</x15:v>
          </x15:c>
        </x15:pivotRow>
        <x15:pivotRow count="1">
          <x15:c>
            <x15:v>10200071.69999993</x15:v>
          </x15:c>
        </x15:pivotRow>
        <x15:pivotRow count="1">
          <x15:c>
            <x15:v>11520864.180000002</x15:v>
          </x15:c>
        </x15:pivotRow>
        <x15:pivotRow count="1">
          <x15:c>
            <x15:v>26721862.019999921</x15:v>
          </x15:c>
        </x15:pivotRow>
        <x15:pivotRow count="1">
          <x15:c>
            <x15:v>67764222.539999202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Ventas]"/>
        <x15:activeTabTopLevelEntity name="[Product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8229AA-0E85-4935-9282-8BBCE23419E2}" name="PivotChartTable3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1:B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3" columnCount="1" cacheId="260080802">
        <x15:pivotRow count="1">
          <x15:c>
            <x15:v>12095</x15:v>
          </x15:c>
        </x15:pivotRow>
        <x15:pivotRow count="1">
          <x15:c>
            <x15:v>1628</x15:v>
          </x15:c>
        </x15:pivotRow>
        <x15:pivotRow count="1">
          <x15:c>
            <x15:v>13723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A9958B-9178-466A-A39F-D820417E0E91}" name="TablaDinámica7" cacheId="97" applyNumberFormats="0" applyBorderFormats="0" applyFontFormats="0" applyPatternFormats="0" applyAlignmentFormats="0" applyWidthHeightFormats="1" dataCaption="Valores" tag="83143ffb-a955-4795-9281-718e313c5802" updatedVersion="8" minRefreshableVersion="3" useAutoFormatting="1" subtotalHiddenItems="1" itemPrintTitles="1" createdVersion="8" indent="0" outline="1" outlineData="1" multipleFieldFilters="0">
  <location ref="F4:F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Pedidos" fld="0" subtotal="count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 caption="Pedido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47F7C2-7D2E-4580-A0F2-21FE75317E4F}" name="TablaDinámica6" cacheId="85" applyNumberFormats="0" applyBorderFormats="0" applyFontFormats="0" applyPatternFormats="0" applyAlignmentFormats="0" applyWidthHeightFormats="1" dataCaption="Valores" tag="83143ffb-a955-4795-9281-718e313c5802" updatedVersion="8" minRefreshableVersion="3" useAutoFormatting="1" subtotalHiddenItems="1" itemPrintTitles="1" createdVersion="8" indent="0" outline="1" outlineData="1" multipleFieldFilters="0">
  <location ref="D4:D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Unidades Vendidas" fld="0" subtotal="count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Unidades Vendida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B6920F-EC2D-4CE5-AD91-6BB30E8F4BD5}" name="TablaDinámica1" cacheId="88" applyNumberFormats="0" applyBorderFormats="0" applyFontFormats="0" applyPatternFormats="0" applyAlignmentFormats="0" applyWidthHeightFormats="1" dataCaption="Valores" tag="83143ffb-a955-4795-9281-718e313c5802" updatedVersion="8" minRefreshableVersion="3" useAutoFormatting="1" itemPrintTitles="1" createdVersion="8" indent="0" outline="1" outlineData="1" multipleFieldFilters="0">
  <location ref="B4:B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Ingreso en $us" fld="0" subtotal="count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Ingreso en $u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="130" zoomScaleNormal="130" workbookViewId="0">
      <selection activeCell="C6" sqref="C6"/>
    </sheetView>
  </sheetViews>
  <sheetFormatPr baseColWidth="10" defaultColWidth="9.140625" defaultRowHeight="15" x14ac:dyDescent="0.25"/>
  <cols>
    <col min="2" max="2" width="13.7109375" bestFit="1" customWidth="1"/>
    <col min="3" max="3" width="29.5703125" bestFit="1" customWidth="1"/>
    <col min="4" max="4" width="18.28515625" bestFit="1" customWidth="1"/>
    <col min="5" max="5" width="29.5703125" bestFit="1" customWidth="1"/>
    <col min="6" max="6" width="8.140625" bestFit="1" customWidth="1"/>
    <col min="7" max="7" width="20.42578125" bestFit="1" customWidth="1"/>
  </cols>
  <sheetData>
    <row r="1" spans="1:6" x14ac:dyDescent="0.25">
      <c r="A1" t="s">
        <v>0</v>
      </c>
    </row>
    <row r="4" spans="1:6" x14ac:dyDescent="0.25">
      <c r="B4" t="s">
        <v>2</v>
      </c>
      <c r="D4" t="s">
        <v>1</v>
      </c>
      <c r="F4" t="s">
        <v>3</v>
      </c>
    </row>
    <row r="5" spans="1:6" x14ac:dyDescent="0.25">
      <c r="B5" s="1">
        <v>67764222.539999202</v>
      </c>
      <c r="D5" s="1">
        <v>14151</v>
      </c>
      <c r="F5" s="1">
        <v>13723</v>
      </c>
    </row>
  </sheetData>
  <pageMargins left="0.7" right="0.7" top="0.75" bottom="0.75" header="0.3" footer="0.3"/>
  <pageSetup paperSize="9"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DE765-8244-4798-B277-3811E7266B6C}">
  <dimension ref="A1"/>
  <sheetViews>
    <sheetView zoomScale="175" zoomScaleNormal="175" workbookViewId="0">
      <selection activeCell="B5" sqref="A1:B5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9532E364-18F6-4D3A-B020-1BAAC86357E2}">
  <ds:schemaRefs/>
</ds:datastoreItem>
</file>

<file path=customXml/itemProps2.xml><?xml version="1.0" encoding="utf-8"?>
<ds:datastoreItem xmlns:ds="http://schemas.openxmlformats.org/officeDocument/2006/customXml" ds:itemID="{C30C21D6-4812-4B2D-B502-FEAABEC0ED9B}">
  <ds:schemaRefs/>
</ds:datastoreItem>
</file>

<file path=customXml/itemProps3.xml><?xml version="1.0" encoding="utf-8"?>
<ds:datastoreItem xmlns:ds="http://schemas.openxmlformats.org/officeDocument/2006/customXml" ds:itemID="{C264A4A1-F66B-4377-98FB-2003A7E390D5}">
  <ds:schemaRefs/>
</ds:datastoreItem>
</file>

<file path=customXml/itemProps4.xml><?xml version="1.0" encoding="utf-8"?>
<ds:datastoreItem xmlns:ds="http://schemas.openxmlformats.org/officeDocument/2006/customXml" ds:itemID="{F52A50C7-DA5A-4ACF-BE61-341DD23516CE}">
  <ds:schemaRefs/>
</ds:datastoreItem>
</file>

<file path=customXml/itemProps5.xml><?xml version="1.0" encoding="utf-8"?>
<ds:datastoreItem xmlns:ds="http://schemas.openxmlformats.org/officeDocument/2006/customXml" ds:itemID="{A201BF90-41D5-4E06-8741-A2F76668580A}">
  <ds:schemaRefs/>
</ds:datastoreItem>
</file>

<file path=customXml/itemProps6.xml><?xml version="1.0" encoding="utf-8"?>
<ds:datastoreItem xmlns:ds="http://schemas.openxmlformats.org/officeDocument/2006/customXml" ds:itemID="{12F5A14A-6126-449B-BCD7-B27830312D36}">
  <ds:schemaRefs/>
</ds:datastoreItem>
</file>

<file path=customXml/itemProps7.xml><?xml version="1.0" encoding="utf-8"?>
<ds:datastoreItem xmlns:ds="http://schemas.openxmlformats.org/officeDocument/2006/customXml" ds:itemID="{181BF3C8-23C4-4F28-8221-D4E04B5A5747}">
  <ds:schemaRefs/>
</ds:datastoreItem>
</file>

<file path=customXml/itemProps8.xml><?xml version="1.0" encoding="utf-8"?>
<ds:datastoreItem xmlns:ds="http://schemas.openxmlformats.org/officeDocument/2006/customXml" ds:itemID="{EA331FAB-86E9-4350-9A21-C7F13474819E}">
  <ds:schemaRefs/>
</ds:datastoreItem>
</file>

<file path=customXml/itemProps9.xml><?xml version="1.0" encoding="utf-8"?>
<ds:datastoreItem xmlns:ds="http://schemas.openxmlformats.org/officeDocument/2006/customXml" ds:itemID="{46D177F5-D99D-4FD2-AF49-8DDC1335079E}">
  <ds:schemaRefs/>
</ds:datastoreItem>
</file>

<file path=customXml/itemProps10.xml><?xml version="1.0" encoding="utf-8"?>
<ds:datastoreItem xmlns:ds="http://schemas.openxmlformats.org/officeDocument/2006/customXml" ds:itemID="{9835B519-3C1F-4E65-91A6-52CF73328D8A}">
  <ds:schemaRefs/>
</ds:datastoreItem>
</file>

<file path=customXml/itemProps11.xml><?xml version="1.0" encoding="utf-8"?>
<ds:datastoreItem xmlns:ds="http://schemas.openxmlformats.org/officeDocument/2006/customXml" ds:itemID="{3C082D95-1598-41F7-B198-48F4B190C7EA}">
  <ds:schemaRefs/>
</ds:datastoreItem>
</file>

<file path=customXml/itemProps12.xml><?xml version="1.0" encoding="utf-8"?>
<ds:datastoreItem xmlns:ds="http://schemas.openxmlformats.org/officeDocument/2006/customXml" ds:itemID="{61EC8250-E4CF-498E-A5DD-9633BA3264A1}">
  <ds:schemaRefs/>
</ds:datastoreItem>
</file>

<file path=customXml/itemProps13.xml><?xml version="1.0" encoding="utf-8"?>
<ds:datastoreItem xmlns:ds="http://schemas.openxmlformats.org/officeDocument/2006/customXml" ds:itemID="{FD8A7C50-7740-4933-BE17-B7602644E22C}">
  <ds:schemaRefs/>
</ds:datastoreItem>
</file>

<file path=customXml/itemProps14.xml><?xml version="1.0" encoding="utf-8"?>
<ds:datastoreItem xmlns:ds="http://schemas.openxmlformats.org/officeDocument/2006/customXml" ds:itemID="{D513CFE2-F41F-40A9-A2D4-EBE7A1751574}">
  <ds:schemaRefs/>
</ds:datastoreItem>
</file>

<file path=customXml/itemProps15.xml><?xml version="1.0" encoding="utf-8"?>
<ds:datastoreItem xmlns:ds="http://schemas.openxmlformats.org/officeDocument/2006/customXml" ds:itemID="{865CF41B-B633-4EC1-9EBD-51ADAC30070E}">
  <ds:schemaRefs/>
</ds:datastoreItem>
</file>

<file path=customXml/itemProps16.xml><?xml version="1.0" encoding="utf-8"?>
<ds:datastoreItem xmlns:ds="http://schemas.openxmlformats.org/officeDocument/2006/customXml" ds:itemID="{91171B9C-9800-44D5-B594-491BC8CA6D03}">
  <ds:schemaRefs/>
</ds:datastoreItem>
</file>

<file path=customXml/itemProps17.xml><?xml version="1.0" encoding="utf-8"?>
<ds:datastoreItem xmlns:ds="http://schemas.openxmlformats.org/officeDocument/2006/customXml" ds:itemID="{8185BEEB-7CA8-4B19-A3F8-C399063855D3}">
  <ds:schemaRefs/>
</ds:datastoreItem>
</file>

<file path=customXml/itemProps18.xml><?xml version="1.0" encoding="utf-8"?>
<ds:datastoreItem xmlns:ds="http://schemas.openxmlformats.org/officeDocument/2006/customXml" ds:itemID="{BCE45E04-5D76-49A5-84C3-A22E18A849F2}">
  <ds:schemaRefs/>
</ds:datastoreItem>
</file>

<file path=customXml/itemProps19.xml><?xml version="1.0" encoding="utf-8"?>
<ds:datastoreItem xmlns:ds="http://schemas.openxmlformats.org/officeDocument/2006/customXml" ds:itemID="{2D288B45-E4B8-4628-9B42-6F18AA5AC4E4}">
  <ds:schemaRefs/>
</ds:datastoreItem>
</file>

<file path=customXml/itemProps20.xml><?xml version="1.0" encoding="utf-8"?>
<ds:datastoreItem xmlns:ds="http://schemas.openxmlformats.org/officeDocument/2006/customXml" ds:itemID="{C0F27118-146C-4AA3-8F25-6D3951B4C14F}">
  <ds:schemaRefs/>
</ds:datastoreItem>
</file>

<file path=customXml/itemProps21.xml><?xml version="1.0" encoding="utf-8"?>
<ds:datastoreItem xmlns:ds="http://schemas.openxmlformats.org/officeDocument/2006/customXml" ds:itemID="{2278D37E-3BDB-4A0D-9594-E0C83F2EA66C}">
  <ds:schemaRefs/>
</ds:datastoreItem>
</file>

<file path=customXml/itemProps22.xml><?xml version="1.0" encoding="utf-8"?>
<ds:datastoreItem xmlns:ds="http://schemas.openxmlformats.org/officeDocument/2006/customXml" ds:itemID="{52208827-B7AE-4EC9-8165-39ED4B70FB44}">
  <ds:schemaRefs/>
</ds:datastoreItem>
</file>

<file path=customXml/itemProps23.xml><?xml version="1.0" encoding="utf-8"?>
<ds:datastoreItem xmlns:ds="http://schemas.openxmlformats.org/officeDocument/2006/customXml" ds:itemID="{2A122E99-F11C-4240-B2B7-5BDC9B9B09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Inturias</dc:creator>
  <cp:lastModifiedBy>Alexander Inturias</cp:lastModifiedBy>
  <dcterms:created xsi:type="dcterms:W3CDTF">2015-06-05T18:19:34Z</dcterms:created>
  <dcterms:modified xsi:type="dcterms:W3CDTF">2026-03-28T01:32:07Z</dcterms:modified>
</cp:coreProperties>
</file>