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Proyecto Final\"/>
    </mc:Choice>
  </mc:AlternateContent>
  <xr:revisionPtr revIDLastSave="0" documentId="13_ncr:1_{9B6DA421-9249-4E92-B43D-B78DFF87B218}" xr6:coauthVersionLast="47" xr6:coauthVersionMax="47" xr10:uidLastSave="{00000000-0000-0000-0000-000000000000}"/>
  <bookViews>
    <workbookView xWindow="-120" yWindow="-120" windowWidth="29040" windowHeight="15720" xr2:uid="{F26F18C7-370E-48DB-ADF8-76CE56C3D4C5}"/>
  </bookViews>
  <sheets>
    <sheet name="Dashboard" sheetId="11" r:id="rId1"/>
    <sheet name="Análisis" sheetId="10" r:id="rId2"/>
  </sheets>
  <definedNames>
    <definedName name="NativeTimeline_Fecha">#N/A</definedName>
    <definedName name="SegmentaciónDeDatos_Tienda">#N/A</definedName>
  </definedNames>
  <calcPr calcId="19102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0" l="1"/>
  <c r="G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A147B-A5A5-4C0A-87DA-8861576CDCC4}" keepAlive="1" name="Consulta - Bakery sales" description="Conexión a la consulta 'Bakery sales' en el libro." type="5" refreshedVersion="8" background="1" saveData="1">
    <dbPr connection="Provider=Microsoft.Mashup.OleDb.1;Data Source=$Workbook$;Location=&quot;Bakery sales&quot;;Extended Properties=&quot;&quot;" command="SELECT * FROM [Bakery sales]"/>
  </connection>
  <connection id="2" xr16:uid="{621A7C98-A45A-4B48-AD8E-7034E6FEAF8D}" keepAlive="1" name="Consulta - Bakery sales (2)" description="Conexión a la consulta 'Bakery sales (2)' en el libro." type="5" refreshedVersion="8" background="1" saveData="1">
    <dbPr connection="Provider=Microsoft.Mashup.OleDb.1;Data Source=$Workbook$;Location=&quot;Bakery sales (2)&quot;;Extended Properties=&quot;&quot;" command="SELECT * FROM [Bakery sales (2)]"/>
  </connection>
  <connection id="3" xr16:uid="{56789B87-92B6-43CE-9988-BD19F36B8FED}" keepAlive="1" name="Consulta - Sales" description="Conexión a la consulta 'Sales' en el libro." type="5" refreshedVersion="0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<sst xmlns="http://schemas.openxmlformats.org/spreadsheetml/2006/main" count="106" uniqueCount="65">
  <si>
    <t>Cantidad</t>
  </si>
  <si>
    <t>Lyon</t>
  </si>
  <si>
    <t>Total general</t>
  </si>
  <si>
    <t>Etiquetas de fila</t>
  </si>
  <si>
    <t>Suma de Venta total</t>
  </si>
  <si>
    <t>Galette 8 Pers</t>
  </si>
  <si>
    <t>Sand Jb Emmental</t>
  </si>
  <si>
    <t>Pt Nantais</t>
  </si>
  <si>
    <t>Tarte Fruits 4P</t>
  </si>
  <si>
    <t>Sandwich Complet</t>
  </si>
  <si>
    <t>Traiteur</t>
  </si>
  <si>
    <t>Formule Sandwich</t>
  </si>
  <si>
    <t>Gd Kouign Amann</t>
  </si>
  <si>
    <t>Traditional Baguette</t>
  </si>
  <si>
    <t>Cafe Ou Eau</t>
  </si>
  <si>
    <t>Croissant</t>
  </si>
  <si>
    <t>Suma de Cantidad</t>
  </si>
  <si>
    <t>Tarte Fraise 6P</t>
  </si>
  <si>
    <t>Tartelette Fraise</t>
  </si>
  <si>
    <t>Buche 8Pers</t>
  </si>
  <si>
    <t>Buche 6Pers</t>
  </si>
  <si>
    <t>Buche 4Pers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</si>
  <si>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</si>
  <si>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</si>
  <si>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</si>
  <si>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</si>
  <si>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</si>
  <si>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</si>
  <si>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</si>
  <si>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</si>
  <si>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</si>
  <si>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</si>
  <si>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</si>
  <si>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</si>
  <si>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Facturación</t>
  </si>
  <si>
    <t>08 a. m.</t>
  </si>
  <si>
    <t>09 a. m.</t>
  </si>
  <si>
    <t>10 a. m.</t>
  </si>
  <si>
    <t>11 a. m.</t>
  </si>
  <si>
    <t>12 p. m.</t>
  </si>
  <si>
    <t>01 p. m.</t>
  </si>
  <si>
    <t>04 p. m.</t>
  </si>
  <si>
    <t>05 p. m.</t>
  </si>
  <si>
    <t>06 p. m.</t>
  </si>
  <si>
    <t>07 p. m.</t>
  </si>
  <si>
    <t>Cantidad.</t>
  </si>
  <si>
    <t>Productos más vendidos Q</t>
  </si>
  <si>
    <t>Productos menos vendidos Q</t>
  </si>
  <si>
    <t>Productos menos facturan $</t>
  </si>
  <si>
    <t>Productos menos Facturan $</t>
  </si>
  <si>
    <t>Ratio V/C (p. Unit)</t>
  </si>
  <si>
    <t>Productos más facturan $</t>
  </si>
  <si>
    <t>Cantidades</t>
  </si>
  <si>
    <t>Productos más Facturan $</t>
  </si>
  <si>
    <t>Análisis por tienda</t>
  </si>
  <si>
    <t>Resumen de datos</t>
  </si>
  <si>
    <t>Metricas generales</t>
  </si>
  <si>
    <t>Facturación.</t>
  </si>
  <si>
    <t xml:space="preserve"> Venta total</t>
  </si>
  <si>
    <t xml:space="preserve">Proyecto Final de Módulo EXCEL para Análisis de Datos </t>
  </si>
  <si>
    <t>ANÁLISIS</t>
  </si>
  <si>
    <t>RESUMEN GENERAL</t>
  </si>
  <si>
    <t>SEGMENTACIÓN (PRODUCTOS)</t>
  </si>
  <si>
    <t>SEGMENTACIÓN (HORAS)</t>
  </si>
  <si>
    <t>CONCLUSIÓN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</si>
</sst>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_-* #,##0_-;\-* #,##0_-;_-* &quot;-&quot;??_-;_-@_-"/>
    <numFmt numFmtId="166" formatCode="_-&quot;$&quot;\ * #,##0.0_-;\-&quot;$&quot;\ * #,##0.0_-;_-&quot;$&quot;\ * &quot;-&quot;??_-;_-@_-"/>
    <numFmt numFmtId="167" formatCode="_-&quot;$&quot;\ * #,##0_-;\-&quot;$&quot;\ * #,##0_-;_-&quot;$&quot;\ * &quot;-&quot;??_-;_-@_-"/>
    <numFmt numFmtId="168" formatCode="[$-F400]h:mm:ss\ AM/PM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u/>
      <sz val="11"/>
      <color theme="10"/>
      <name val="Bahnschrift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Bahnschrift"/>
      <family val="2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8"/>
      <color theme="0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5" fillId="0" borderId="0" xfId="0" applyFont="1"/>
    <xf numFmtId="0" fontId="0" fillId="0" borderId="1" xfId="0" applyBorder="1"/>
    <xf numFmtId="167" fontId="0" fillId="0" borderId="1" xfId="0" applyNumberFormat="1" applyBorder="1"/>
    <xf numFmtId="0" fontId="0" fillId="0" borderId="0" xfId="0" applyNumberFormat="1"/>
    <xf numFmtId="0" fontId="6" fillId="2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8" borderId="0" xfId="0" applyFill="1"/>
    <xf numFmtId="0" fontId="2" fillId="9" borderId="0" xfId="0" applyFont="1" applyFill="1" applyAlignment="1">
      <alignment horizontal="left"/>
    </xf>
    <xf numFmtId="0" fontId="0" fillId="9" borderId="0" xfId="0" applyFill="1"/>
    <xf numFmtId="0" fontId="3" fillId="9" borderId="0" xfId="0" applyFont="1" applyFill="1" applyAlignment="1">
      <alignment horizontal="left"/>
    </xf>
    <xf numFmtId="0" fontId="4" fillId="9" borderId="0" xfId="1" applyFont="1" applyFill="1"/>
    <xf numFmtId="0" fontId="4" fillId="8" borderId="0" xfId="1" applyFont="1" applyFill="1"/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15"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theme="0" tint="-4.9989318521683403E-2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sz val="11"/>
        <color theme="1"/>
      </font>
      <border>
        <vertical/>
        <horizontal/>
      </border>
    </dxf>
    <dxf>
      <font>
        <color theme="1" tint="0.14996795556505021"/>
        <name val="Bahnschrift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3" defaultTableStyle="TableStyleMedium2" defaultPivotStyle="PivotStyleLight16">
    <tableStyle name="personalizado" pivot="0" table="0" count="9" xr9:uid="{55B47AA3-7B09-40B7-80CE-31D03E187C3A}">
      <tableStyleElement type="wholeTable" dxfId="14"/>
      <tableStyleElement type="headerRow" dxfId="13"/>
    </tableStyle>
    <tableStyle name="po" pivot="0" table="0" count="9" xr9:uid="{A91519D3-7E7F-4737-968D-8B9D397A08C7}">
      <tableStyleElement type="wholeTable" dxfId="12"/>
      <tableStyleElement type="headerRow" dxfId="11"/>
    </tableStyle>
    <tableStyle name="poo" pivot="0" table="0" count="10" xr9:uid="{684CA490-ADF4-4586-AC2E-0341F66A9D98}">
      <tableStyleElement type="wholeTable" dxfId="10"/>
      <tableStyleElement type="headerRow" dxfId="9"/>
    </tableStyle>
  </tableStyles>
  <colors>
    <mruColors>
      <color rgb="FF660066"/>
      <color rgb="FFFF6600"/>
      <color rgb="FFFF9933"/>
      <color rgb="FF6600CC"/>
      <color rgb="FFCC0000"/>
      <color rgb="FF008000"/>
      <color rgb="FFFF5050"/>
      <color rgb="FF009900"/>
      <color rgb="FF006666"/>
      <color rgb="FFCC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o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4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rgb="FF006666"/>
              </stop>
              <stop position="1">
                <color rgb="FF00666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24994659260841701"/>
            <name val="Bahnschrift"/>
            <family val="2"/>
            <scheme val="non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1" tint="0.1499679555650502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personalizado">
        <x15:timelineStyle name="personalizado">
          <x15:timelineStyleElements>
            <x15:timelineStyleElement type="selectionLabel" dxfId="13"/>
            <x15:timelineStyleElement type="timeLevel" dxfId="12"/>
            <x15:timelineStyleElement type="periodLabel1" dxfId="11"/>
            <x15:timelineStyleElement type="periodLabel2" dxfId="10"/>
            <x15:timelineStyleElement type="selectedTimeBlock" dxfId="9"/>
            <x15:timelineStyleElement type="unselectedTimeBlock" dxfId="8"/>
            <x15:timelineStyleElement type="selectedTimeBlockSpace" dxfId="7"/>
          </x15:timelineStyleElements>
        </x15:timelineStyle>
        <x15:timelineStyle name="po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por 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Resumen de ventas del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Análisis!$C$11</c:f>
              <c:strCache>
                <c:ptCount val="1"/>
                <c:pt idx="0">
                  <c:v>Facturación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Análisis!$C$12:$C$24</c:f>
              <c:numCache>
                <c:formatCode>_-"$"\ * #,##0_-;\-"$"\ * #,##0_-;_-"$"\ * "-"??_-;_-@_-</c:formatCode>
                <c:ptCount val="12"/>
                <c:pt idx="0">
                  <c:v>1755</c:v>
                </c:pt>
                <c:pt idx="1">
                  <c:v>1545</c:v>
                </c:pt>
                <c:pt idx="2">
                  <c:v>1820</c:v>
                </c:pt>
                <c:pt idx="3">
                  <c:v>3465</c:v>
                </c:pt>
                <c:pt idx="4">
                  <c:v>2100</c:v>
                </c:pt>
                <c:pt idx="5">
                  <c:v>5075</c:v>
                </c:pt>
                <c:pt idx="6">
                  <c:v>2520</c:v>
                </c:pt>
                <c:pt idx="7">
                  <c:v>3185</c:v>
                </c:pt>
                <c:pt idx="8">
                  <c:v>2647</c:v>
                </c:pt>
                <c:pt idx="9">
                  <c:v>2496</c:v>
                </c:pt>
                <c:pt idx="10">
                  <c:v>1797</c:v>
                </c:pt>
                <c:pt idx="11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E-4A8F-B17B-485B95BE859E}"/>
            </c:ext>
          </c:extLst>
        </c:ser>
        <c:ser>
          <c:idx val="1"/>
          <c:order val="1"/>
          <c:tx>
            <c:strRef>
              <c:f>Análisis!$D$11</c:f>
              <c:strCache>
                <c:ptCount val="1"/>
                <c:pt idx="0">
                  <c:v>Cantidad.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Análisis!$D$12:$D$24</c:f>
              <c:numCache>
                <c:formatCode>General</c:formatCode>
                <c:ptCount val="12"/>
                <c:pt idx="0">
                  <c:v>230</c:v>
                </c:pt>
                <c:pt idx="1">
                  <c:v>340</c:v>
                </c:pt>
                <c:pt idx="2">
                  <c:v>200</c:v>
                </c:pt>
                <c:pt idx="3">
                  <c:v>540</c:v>
                </c:pt>
                <c:pt idx="4">
                  <c:v>250</c:v>
                </c:pt>
                <c:pt idx="5">
                  <c:v>2510</c:v>
                </c:pt>
                <c:pt idx="6">
                  <c:v>530</c:v>
                </c:pt>
                <c:pt idx="7">
                  <c:v>860</c:v>
                </c:pt>
                <c:pt idx="8">
                  <c:v>880</c:v>
                </c:pt>
                <c:pt idx="9">
                  <c:v>730</c:v>
                </c:pt>
                <c:pt idx="10">
                  <c:v>560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E-4A8F-B17B-485B95BE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562592"/>
        <c:axId val="480228192"/>
      </c:barChart>
      <c:lineChart>
        <c:grouping val="standard"/>
        <c:varyColors val="0"/>
        <c:ser>
          <c:idx val="2"/>
          <c:order val="2"/>
          <c:tx>
            <c:strRef>
              <c:f>Análisis!$E$11</c:f>
              <c:strCache>
                <c:ptCount val="1"/>
                <c:pt idx="0">
                  <c:v>Ratio V/C (p. Unit)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Análisis!$E$12:$E$24</c:f>
              <c:numCache>
                <c:formatCode>0.00</c:formatCode>
                <c:ptCount val="12"/>
                <c:pt idx="0">
                  <c:v>7.6304347826086953</c:v>
                </c:pt>
                <c:pt idx="1">
                  <c:v>4.5441176470588234</c:v>
                </c:pt>
                <c:pt idx="2">
                  <c:v>9.1</c:v>
                </c:pt>
                <c:pt idx="3">
                  <c:v>6.416666666666667</c:v>
                </c:pt>
                <c:pt idx="4">
                  <c:v>8.4</c:v>
                </c:pt>
                <c:pt idx="5">
                  <c:v>2.0219123505976095</c:v>
                </c:pt>
                <c:pt idx="6">
                  <c:v>4.7547169811320753</c:v>
                </c:pt>
                <c:pt idx="7">
                  <c:v>3.7034883720930232</c:v>
                </c:pt>
                <c:pt idx="8">
                  <c:v>3.0079545454545453</c:v>
                </c:pt>
                <c:pt idx="9">
                  <c:v>3.419178082191781</c:v>
                </c:pt>
                <c:pt idx="10">
                  <c:v>3.2089285714285714</c:v>
                </c:pt>
                <c:pt idx="11">
                  <c:v>13.727777777777778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2E-4A8F-B17B-485B95BE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426192"/>
        <c:axId val="1452425776"/>
      </c:lineChart>
      <c:catAx>
        <c:axId val="144756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228192"/>
        <c:crosses val="autoZero"/>
        <c:auto val="1"/>
        <c:lblAlgn val="ctr"/>
        <c:lblOffset val="100"/>
        <c:noMultiLvlLbl val="0"/>
      </c:catAx>
      <c:valAx>
        <c:axId val="4802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7562592"/>
        <c:crosses val="autoZero"/>
        <c:crossBetween val="between"/>
      </c:valAx>
      <c:valAx>
        <c:axId val="1452425776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2426192"/>
        <c:crosses val="max"/>
        <c:crossBetween val="between"/>
      </c:valAx>
      <c:catAx>
        <c:axId val="1452426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2425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por hora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Horas más concurridas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2003499562555"/>
          <c:y val="0.14837951388888887"/>
          <c:w val="0.81416885389326332"/>
          <c:h val="0.64757708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Análisis!$J$6</c:f>
              <c:strCache>
                <c:ptCount val="1"/>
                <c:pt idx="0">
                  <c:v>Suma de Venta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Análisis!$I$7:$I$17</c:f>
              <c:strCache>
                <c:ptCount val="10"/>
                <c:pt idx="0">
                  <c:v>08 a. m.</c:v>
                </c:pt>
                <c:pt idx="1">
                  <c:v>09 a. m.</c:v>
                </c:pt>
                <c:pt idx="2">
                  <c:v>10 a. m.</c:v>
                </c:pt>
                <c:pt idx="3">
                  <c:v>11 a. m.</c:v>
                </c:pt>
                <c:pt idx="4">
                  <c:v>12 p. m.</c:v>
                </c:pt>
                <c:pt idx="5">
                  <c:v>01 p. m.</c:v>
                </c:pt>
                <c:pt idx="6">
                  <c:v>04 p. m.</c:v>
                </c:pt>
                <c:pt idx="7">
                  <c:v>05 p. m.</c:v>
                </c:pt>
                <c:pt idx="8">
                  <c:v>06 p. m.</c:v>
                </c:pt>
                <c:pt idx="9">
                  <c:v>07 p. m.</c:v>
                </c:pt>
              </c:strCache>
            </c:strRef>
          </c:cat>
          <c:val>
            <c:numRef>
              <c:f>Análisis!$J$7:$J$17</c:f>
              <c:numCache>
                <c:formatCode>_-"$"\ * #,##0_-;\-"$"\ * #,##0_-;_-"$"\ * "-"??_-;_-@_-</c:formatCode>
                <c:ptCount val="10"/>
                <c:pt idx="0">
                  <c:v>2697</c:v>
                </c:pt>
                <c:pt idx="1">
                  <c:v>3737</c:v>
                </c:pt>
                <c:pt idx="2">
                  <c:v>4813</c:v>
                </c:pt>
                <c:pt idx="3">
                  <c:v>5821</c:v>
                </c:pt>
                <c:pt idx="4">
                  <c:v>8275</c:v>
                </c:pt>
                <c:pt idx="5">
                  <c:v>2990</c:v>
                </c:pt>
                <c:pt idx="6">
                  <c:v>1080</c:v>
                </c:pt>
                <c:pt idx="7">
                  <c:v>508</c:v>
                </c:pt>
                <c:pt idx="8">
                  <c:v>420</c:v>
                </c:pt>
                <c:pt idx="9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1-4264-B060-7593491FD6D8}"/>
            </c:ext>
          </c:extLst>
        </c:ser>
        <c:ser>
          <c:idx val="1"/>
          <c:order val="1"/>
          <c:tx>
            <c:strRef>
              <c:f>Análisis!$K$6</c:f>
              <c:strCache>
                <c:ptCount val="1"/>
                <c:pt idx="0">
                  <c:v>Suma de Cantidad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Análisis!$I$7:$I$17</c:f>
              <c:strCache>
                <c:ptCount val="10"/>
                <c:pt idx="0">
                  <c:v>08 a. m.</c:v>
                </c:pt>
                <c:pt idx="1">
                  <c:v>09 a. m.</c:v>
                </c:pt>
                <c:pt idx="2">
                  <c:v>10 a. m.</c:v>
                </c:pt>
                <c:pt idx="3">
                  <c:v>11 a. m.</c:v>
                </c:pt>
                <c:pt idx="4">
                  <c:v>12 p. m.</c:v>
                </c:pt>
                <c:pt idx="5">
                  <c:v>01 p. m.</c:v>
                </c:pt>
                <c:pt idx="6">
                  <c:v>04 p. m.</c:v>
                </c:pt>
                <c:pt idx="7">
                  <c:v>05 p. m.</c:v>
                </c:pt>
                <c:pt idx="8">
                  <c:v>06 p. m.</c:v>
                </c:pt>
                <c:pt idx="9">
                  <c:v>07 p. m.</c:v>
                </c:pt>
              </c:strCache>
            </c:strRef>
          </c:cat>
          <c:val>
            <c:numRef>
              <c:f>Análisis!$K$7:$K$17</c:f>
              <c:numCache>
                <c:formatCode>General</c:formatCode>
                <c:ptCount val="10"/>
                <c:pt idx="0">
                  <c:v>800</c:v>
                </c:pt>
                <c:pt idx="1">
                  <c:v>2340</c:v>
                </c:pt>
                <c:pt idx="2">
                  <c:v>1420</c:v>
                </c:pt>
                <c:pt idx="3">
                  <c:v>780</c:v>
                </c:pt>
                <c:pt idx="4">
                  <c:v>1140</c:v>
                </c:pt>
                <c:pt idx="5">
                  <c:v>480</c:v>
                </c:pt>
                <c:pt idx="6">
                  <c:v>490</c:v>
                </c:pt>
                <c:pt idx="7">
                  <c:v>130</c:v>
                </c:pt>
                <c:pt idx="8">
                  <c:v>170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1-4264-B060-7593491FD6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3700880"/>
        <c:axId val="1443707952"/>
      </c:barChart>
      <c:catAx>
        <c:axId val="144370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3707952"/>
        <c:crosses val="autoZero"/>
        <c:auto val="1"/>
        <c:lblAlgn val="ctr"/>
        <c:lblOffset val="100"/>
        <c:noMultiLvlLbl val="0"/>
      </c:catAx>
      <c:valAx>
        <c:axId val="14437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37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Resumen de ventas totales de la empresa.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6234567901234571E-2"/>
          <c:y val="0.17631765910993688"/>
          <c:w val="0.91376543209876548"/>
          <c:h val="0.65598800967483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Análisis!$F$7</c:f>
              <c:strCache>
                <c:ptCount val="1"/>
                <c:pt idx="0">
                  <c:v>Facturación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Análisis!$G$7</c:f>
              <c:numCache>
                <c:formatCode>_-"$"\ * #,##0_-;\-"$"\ * #,##0_-;_-"$"\ * "-"??_-;_-@_-</c:formatCode>
                <c:ptCount val="1"/>
                <c:pt idx="0">
                  <c:v>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5-4319-9603-B939846EC0D9}"/>
            </c:ext>
          </c:extLst>
        </c:ser>
        <c:ser>
          <c:idx val="1"/>
          <c:order val="1"/>
          <c:tx>
            <c:strRef>
              <c:f>Análisis!$F$8</c:f>
              <c:strCache>
                <c:ptCount val="1"/>
                <c:pt idx="0">
                  <c:v>Cantidad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Análisis!$G$8</c:f>
              <c:numCache>
                <c:formatCode>General</c:formatCode>
                <c:ptCount val="1"/>
                <c:pt idx="0">
                  <c:v>15620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5-4319-9603-B939846EC0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87602768"/>
        <c:axId val="1287603600"/>
      </c:barChart>
      <c:catAx>
        <c:axId val="128760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603600"/>
        <c:crosses val="autoZero"/>
        <c:auto val="1"/>
        <c:lblAlgn val="ctr"/>
        <c:lblOffset val="100"/>
        <c:noMultiLvlLbl val="0"/>
      </c:catAx>
      <c:valAx>
        <c:axId val="128760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60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x tienda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Resumen de ventas por tienda</a:t>
            </a:r>
          </a:p>
        </c:rich>
      </c:tx>
      <c:layout>
        <c:manualLayout>
          <c:xMode val="edge"/>
          <c:yMode val="edge"/>
          <c:x val="0.11314899886426967"/>
          <c:y val="3.8877868390762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10268725314275E-2"/>
          <c:y val="0.28259064572367198"/>
          <c:w val="0.91177946254937148"/>
          <c:h val="0.41970718842575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Análisis!$C$6</c:f>
              <c:strCache>
                <c:ptCount val="1"/>
                <c:pt idx="0">
                  <c:v>Facturación.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Análisis!$B$7:$B$8</c:f>
              <c:strCache>
                <c:ptCount val="1"/>
                <c:pt idx="0">
                  <c:v>Lyon</c:v>
                </c:pt>
              </c:strCache>
            </c:strRef>
          </c:cat>
          <c:val>
            <c:numRef>
              <c:f>Análisis!$C$7:$C$8</c:f>
              <c:numCache>
                <c:formatCode>_-"$"\ * #,##0_-;\-"$"\ * #,##0_-;_-"$"\ * "-"??_-;_-@_-</c:formatCode>
                <c:ptCount val="1"/>
                <c:pt idx="0">
                  <c:v>30876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E-4872-BAF7-C80DCC149218}"/>
            </c:ext>
          </c:extLst>
        </c:ser>
        <c:ser>
          <c:idx val="1"/>
          <c:order val="1"/>
          <c:tx>
            <c:strRef>
              <c:f>Análisis!$D$6</c:f>
              <c:strCache>
                <c:ptCount val="1"/>
                <c:pt idx="0">
                  <c:v>Cantidades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Análisis!$B$7:$B$8</c:f>
              <c:strCache>
                <c:ptCount val="1"/>
                <c:pt idx="0">
                  <c:v>Lyon</c:v>
                </c:pt>
              </c:strCache>
            </c:strRef>
          </c:cat>
          <c:val>
            <c:numRef>
              <c:f>Análisis!$D$7:$D$8</c:f>
              <c:numCache>
                <c:formatCode>General</c:formatCode>
                <c:ptCount val="1"/>
                <c:pt idx="0">
                  <c:v>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E-4872-BAF7-C80DCC149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8081920"/>
        <c:axId val="1298079840"/>
      </c:barChart>
      <c:catAx>
        <c:axId val="12980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079840"/>
        <c:crosses val="autoZero"/>
        <c:auto val="1"/>
        <c:lblAlgn val="ctr"/>
        <c:lblOffset val="100"/>
        <c:noMultiLvlLbl val="0"/>
      </c:catAx>
      <c:valAx>
        <c:axId val="12980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0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142214095520047E-2"/>
          <c:y val="0.83363529576920636"/>
          <c:w val="0.82757328856967449"/>
          <c:h val="0.16401715524208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Pr. &gt; $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Productos más populares según factuación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Análisis!$C$29</c:f>
              <c:strCache>
                <c:ptCount val="1"/>
                <c:pt idx="0">
                  <c:v> Venta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Análisis!$B$30:$B$35</c:f>
              <c:strCache>
                <c:ptCount val="5"/>
                <c:pt idx="0">
                  <c:v>Formule Sandwich</c:v>
                </c:pt>
                <c:pt idx="1">
                  <c:v>Traiteur</c:v>
                </c:pt>
                <c:pt idx="2">
                  <c:v>Sandwich Complet</c:v>
                </c:pt>
                <c:pt idx="3">
                  <c:v>Cafe Ou Eau</c:v>
                </c:pt>
                <c:pt idx="4">
                  <c:v>Gd Kouign Amann</c:v>
                </c:pt>
              </c:strCache>
            </c:strRef>
          </c:cat>
          <c:val>
            <c:numRef>
              <c:f>Análisis!$C$30:$C$35</c:f>
              <c:numCache>
                <c:formatCode>_-"$"\ * #,##0_-;\-"$"\ * #,##0_-;_-"$"\ * "-"??_-;_-@_-</c:formatCode>
                <c:ptCount val="5"/>
                <c:pt idx="0">
                  <c:v>9945</c:v>
                </c:pt>
                <c:pt idx="1">
                  <c:v>3191</c:v>
                </c:pt>
                <c:pt idx="2">
                  <c:v>2025</c:v>
                </c:pt>
                <c:pt idx="3">
                  <c:v>2000</c:v>
                </c:pt>
                <c:pt idx="4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6-4998-A874-AD7781DD9556}"/>
            </c:ext>
          </c:extLst>
        </c:ser>
        <c:ser>
          <c:idx val="1"/>
          <c:order val="1"/>
          <c:tx>
            <c:strRef>
              <c:f>Análisis!$D$29</c:f>
              <c:strCache>
                <c:ptCount val="1"/>
                <c:pt idx="0">
                  <c:v>Suma de Cantidad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Análisis!$B$30:$B$35</c:f>
              <c:strCache>
                <c:ptCount val="5"/>
                <c:pt idx="0">
                  <c:v>Formule Sandwich</c:v>
                </c:pt>
                <c:pt idx="1">
                  <c:v>Traiteur</c:v>
                </c:pt>
                <c:pt idx="2">
                  <c:v>Sandwich Complet</c:v>
                </c:pt>
                <c:pt idx="3">
                  <c:v>Cafe Ou Eau</c:v>
                </c:pt>
                <c:pt idx="4">
                  <c:v>Gd Kouign Amann</c:v>
                </c:pt>
              </c:strCache>
            </c:strRef>
          </c:cat>
          <c:val>
            <c:numRef>
              <c:f>Análisis!$D$30:$D$35</c:f>
              <c:numCache>
                <c:formatCode>General</c:formatCode>
                <c:ptCount val="5"/>
                <c:pt idx="0">
                  <c:v>1530</c:v>
                </c:pt>
                <c:pt idx="1">
                  <c:v>270</c:v>
                </c:pt>
                <c:pt idx="2">
                  <c:v>450</c:v>
                </c:pt>
                <c:pt idx="3">
                  <c:v>2000</c:v>
                </c:pt>
                <c:pt idx="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6-4998-A874-AD7781DD9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00669872"/>
        <c:axId val="1300670288"/>
      </c:barChart>
      <c:catAx>
        <c:axId val="1300669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0670288"/>
        <c:crosses val="autoZero"/>
        <c:auto val="1"/>
        <c:lblAlgn val="ctr"/>
        <c:lblOffset val="100"/>
        <c:noMultiLvlLbl val="0"/>
      </c:catAx>
      <c:valAx>
        <c:axId val="13006702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06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Pr. &lt; $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Productos menos populares según factuación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Análisis!$G$29</c:f>
              <c:strCache>
                <c:ptCount val="1"/>
                <c:pt idx="0">
                  <c:v>Suma de Venta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Análisis!$F$30:$F$35</c:f>
              <c:strCache>
                <c:ptCount val="5"/>
                <c:pt idx="0">
                  <c:v>Tartelette Fraise</c:v>
                </c:pt>
                <c:pt idx="1">
                  <c:v>Tarte Fruits 4P</c:v>
                </c:pt>
                <c:pt idx="2">
                  <c:v>Pt Nantais</c:v>
                </c:pt>
                <c:pt idx="3">
                  <c:v>Sand Jb Emmental</c:v>
                </c:pt>
                <c:pt idx="4">
                  <c:v>Galette 8 Pers</c:v>
                </c:pt>
              </c:strCache>
            </c:strRef>
          </c:cat>
          <c:val>
            <c:numRef>
              <c:f>Análisis!$G$30:$G$35</c:f>
              <c:numCache>
                <c:formatCode>_-"$"\ * #,##0_-;\-"$"\ * #,##0_-;_-"$"\ * "-"??_-;_-@_-</c:formatCode>
                <c:ptCount val="5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175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508-AAD7-773FEF3AE31C}"/>
            </c:ext>
          </c:extLst>
        </c:ser>
        <c:ser>
          <c:idx val="1"/>
          <c:order val="1"/>
          <c:tx>
            <c:strRef>
              <c:f>Análisis!$H$29</c:f>
              <c:strCache>
                <c:ptCount val="1"/>
                <c:pt idx="0">
                  <c:v>Suma de Cantidad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Análisis!$F$30:$F$35</c:f>
              <c:strCache>
                <c:ptCount val="5"/>
                <c:pt idx="0">
                  <c:v>Tartelette Fraise</c:v>
                </c:pt>
                <c:pt idx="1">
                  <c:v>Tarte Fruits 4P</c:v>
                </c:pt>
                <c:pt idx="2">
                  <c:v>Pt Nantais</c:v>
                </c:pt>
                <c:pt idx="3">
                  <c:v>Sand Jb Emmental</c:v>
                </c:pt>
                <c:pt idx="4">
                  <c:v>Galette 8 Pers</c:v>
                </c:pt>
              </c:strCache>
            </c:strRef>
          </c:cat>
          <c:val>
            <c:numRef>
              <c:f>Análisis!$H$30:$H$35</c:f>
              <c:numCache>
                <c:formatCode>General</c:formatCode>
                <c:ptCount val="5"/>
                <c:pt idx="0">
                  <c:v>80</c:v>
                </c:pt>
                <c:pt idx="1">
                  <c:v>20</c:v>
                </c:pt>
                <c:pt idx="2">
                  <c:v>60</c:v>
                </c:pt>
                <c:pt idx="3">
                  <c:v>50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3-4508-AAD7-773FEF3AE3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7300368"/>
        <c:axId val="617297456"/>
      </c:barChart>
      <c:catAx>
        <c:axId val="61730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7297456"/>
        <c:crosses val="autoZero"/>
        <c:auto val="1"/>
        <c:lblAlgn val="ctr"/>
        <c:lblOffset val="100"/>
        <c:noMultiLvlLbl val="0"/>
      </c:catAx>
      <c:valAx>
        <c:axId val="6172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73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&gt; $. 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Productos más facturan $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Análisis!$F$42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Análisis!$E$43:$E$47</c:f>
              <c:multiLvlStrCache>
                <c:ptCount val="3"/>
                <c:lvl>
                  <c:pt idx="0">
                    <c:v>Sandwich Complet</c:v>
                  </c:pt>
                  <c:pt idx="1">
                    <c:v>Traiteur</c:v>
                  </c:pt>
                  <c:pt idx="2">
                    <c:v>Formule Sandwich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Análisis!$F$43:$F$47</c:f>
              <c:numCache>
                <c:formatCode>_-"$"\ * #,##0_-;\-"$"\ * #,##0_-;_-"$"\ * "-"??_-;_-@_-</c:formatCode>
                <c:ptCount val="3"/>
                <c:pt idx="0">
                  <c:v>2025</c:v>
                </c:pt>
                <c:pt idx="1">
                  <c:v>3191</c:v>
                </c:pt>
                <c:pt idx="2">
                  <c:v>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B-463E-AC20-50E2029D78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49510496"/>
        <c:axId val="1549504672"/>
      </c:barChart>
      <c:catAx>
        <c:axId val="154951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04672"/>
        <c:crosses val="autoZero"/>
        <c:auto val="1"/>
        <c:lblAlgn val="ctr"/>
        <c:lblOffset val="100"/>
        <c:noMultiLvlLbl val="0"/>
      </c:catAx>
      <c:valAx>
        <c:axId val="154950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1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&lt; $. 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Productos menos facturan $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Análisis!$L$42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Análisis!$K$43:$K$49</c:f>
              <c:multiLvlStrCache>
                <c:ptCount val="5"/>
                <c:lvl>
                  <c:pt idx="0">
                    <c:v>Tartelette Fraise</c:v>
                  </c:pt>
                  <c:pt idx="1">
                    <c:v>Tarte Fruits 4P</c:v>
                  </c:pt>
                  <c:pt idx="2">
                    <c:v>Pt Nantais</c:v>
                  </c:pt>
                  <c:pt idx="3">
                    <c:v>Sand Jb Emmental</c:v>
                  </c:pt>
                  <c:pt idx="4">
                    <c:v>Galette 8 Pers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Análisis!$L$43:$L$49</c:f>
              <c:numCache>
                <c:formatCode>General</c:formatCode>
                <c:ptCount val="5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175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8-4F15-A459-D5EFDC5B4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97720496"/>
        <c:axId val="1597718416"/>
      </c:barChart>
      <c:catAx>
        <c:axId val="159772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718416"/>
        <c:crosses val="autoZero"/>
        <c:auto val="1"/>
        <c:lblAlgn val="ctr"/>
        <c:lblOffset val="100"/>
        <c:noMultiLvlLbl val="0"/>
      </c:catAx>
      <c:valAx>
        <c:axId val="159771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7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&lt; Q. 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Productos menos vendidos Q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05183727034117"/>
          <c:y val="0.17171296296296298"/>
          <c:w val="0.6709481627296588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Análisis!$I$42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Análisis!$H$43:$H$50</c:f>
              <c:multiLvlStrCache>
                <c:ptCount val="6"/>
                <c:lvl>
                  <c:pt idx="0">
                    <c:v>Tarte Fraise 6P</c:v>
                  </c:pt>
                  <c:pt idx="1">
                    <c:v>Buche 4Pers</c:v>
                  </c:pt>
                  <c:pt idx="2">
                    <c:v>Tarte Fruits 4P</c:v>
                  </c:pt>
                  <c:pt idx="3">
                    <c:v>Buche 6Pers</c:v>
                  </c:pt>
                  <c:pt idx="4">
                    <c:v>Buche 8Pers</c:v>
                  </c:pt>
                  <c:pt idx="5">
                    <c:v>Galette 8 Pers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Análisis!$I$43:$I$50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7-4505-8393-7231432ED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1624464"/>
        <c:axId val="1571616560"/>
      </c:barChart>
      <c:catAx>
        <c:axId val="157162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616560"/>
        <c:crosses val="autoZero"/>
        <c:auto val="1"/>
        <c:lblAlgn val="ctr"/>
        <c:lblOffset val="100"/>
        <c:noMultiLvlLbl val="0"/>
      </c:catAx>
      <c:valAx>
        <c:axId val="157161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62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&gt; Q. 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Productos más vendidos Q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Análisis!$C$42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Análisis!$B$43:$B$49</c:f>
              <c:multiLvlStrCache>
                <c:ptCount val="5"/>
                <c:lvl>
                  <c:pt idx="0">
                    <c:v>Cafe Ou Eau</c:v>
                  </c:pt>
                  <c:pt idx="1">
                    <c:v>Formule Sandwich</c:v>
                  </c:pt>
                  <c:pt idx="2">
                    <c:v>Croissant</c:v>
                  </c:pt>
                  <c:pt idx="3">
                    <c:v>Traditional Baguette</c:v>
                  </c:pt>
                  <c:pt idx="4">
                    <c:v>Sandwich Complet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Análisis!$C$43:$C$49</c:f>
              <c:numCache>
                <c:formatCode>General</c:formatCode>
                <c:ptCount val="5"/>
                <c:pt idx="0">
                  <c:v>2000</c:v>
                </c:pt>
                <c:pt idx="1">
                  <c:v>1530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A-4543-BD07-D852DC8E0A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93395888"/>
        <c:axId val="1393396720"/>
      </c:barChart>
      <c:catAx>
        <c:axId val="1393395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3396720"/>
        <c:crosses val="autoZero"/>
        <c:auto val="1"/>
        <c:lblAlgn val="ctr"/>
        <c:lblOffset val="100"/>
        <c:noMultiLvlLbl val="0"/>
      </c:catAx>
      <c:valAx>
        <c:axId val="1393396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339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x tienda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Resumen</a:t>
            </a:r>
            <a:r>
              <a:rPr lang="es-CO" baseline="0"/>
              <a:t> de ventas por tienda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Análisis!$C$6</c:f>
              <c:strCache>
                <c:ptCount val="1"/>
                <c:pt idx="0">
                  <c:v>Facturación.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Análisis!$B$7:$B$8</c:f>
              <c:strCache>
                <c:ptCount val="1"/>
                <c:pt idx="0">
                  <c:v>Lyon</c:v>
                </c:pt>
              </c:strCache>
            </c:strRef>
          </c:cat>
          <c:val>
            <c:numRef>
              <c:f>Análisis!$C$7:$C$8</c:f>
              <c:numCache>
                <c:formatCode>_-"$"\ * #,##0_-;\-"$"\ * #,##0_-;_-"$"\ * "-"??_-;_-@_-</c:formatCode>
                <c:ptCount val="1"/>
                <c:pt idx="0">
                  <c:v>30876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0-47A6-9BD3-421369F5A7CD}"/>
            </c:ext>
          </c:extLst>
        </c:ser>
        <c:ser>
          <c:idx val="1"/>
          <c:order val="1"/>
          <c:tx>
            <c:strRef>
              <c:f>Análisis!$D$6</c:f>
              <c:strCache>
                <c:ptCount val="1"/>
                <c:pt idx="0">
                  <c:v>Cantidades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Análisis!$B$7:$B$8</c:f>
              <c:strCache>
                <c:ptCount val="1"/>
                <c:pt idx="0">
                  <c:v>Lyon</c:v>
                </c:pt>
              </c:strCache>
            </c:strRef>
          </c:cat>
          <c:val>
            <c:numRef>
              <c:f>Análisis!$D$7:$D$8</c:f>
              <c:numCache>
                <c:formatCode>General</c:formatCode>
                <c:ptCount val="1"/>
                <c:pt idx="0">
                  <c:v>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0-47A6-9BD3-421369F5A7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8081920"/>
        <c:axId val="1298079840"/>
      </c:barChart>
      <c:catAx>
        <c:axId val="12980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8079840"/>
        <c:crosses val="autoZero"/>
        <c:auto val="1"/>
        <c:lblAlgn val="ctr"/>
        <c:lblOffset val="100"/>
        <c:noMultiLvlLbl val="0"/>
      </c:catAx>
      <c:valAx>
        <c:axId val="1298079840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2980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142164927391992E-2"/>
          <c:y val="0.71934923958562913"/>
          <c:w val="0.59346755253901029"/>
          <c:h val="0.13195577953803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por mes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Resumen de</a:t>
            </a:r>
            <a:r>
              <a:rPr lang="es-CO" baseline="0"/>
              <a:t> ventas del año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Análisis!$C$11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Análisis!$C$12:$C$24</c:f>
              <c:numCache>
                <c:formatCode>_-"$"\ * #,##0_-;\-"$"\ * #,##0_-;_-"$"\ * "-"??_-;_-@_-</c:formatCode>
                <c:ptCount val="12"/>
                <c:pt idx="0">
                  <c:v>1755</c:v>
                </c:pt>
                <c:pt idx="1">
                  <c:v>1545</c:v>
                </c:pt>
                <c:pt idx="2">
                  <c:v>1820</c:v>
                </c:pt>
                <c:pt idx="3">
                  <c:v>3465</c:v>
                </c:pt>
                <c:pt idx="4">
                  <c:v>2100</c:v>
                </c:pt>
                <c:pt idx="5">
                  <c:v>5075</c:v>
                </c:pt>
                <c:pt idx="6">
                  <c:v>2520</c:v>
                </c:pt>
                <c:pt idx="7">
                  <c:v>3185</c:v>
                </c:pt>
                <c:pt idx="8">
                  <c:v>2647</c:v>
                </c:pt>
                <c:pt idx="9">
                  <c:v>2496</c:v>
                </c:pt>
                <c:pt idx="10">
                  <c:v>1797</c:v>
                </c:pt>
                <c:pt idx="11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E-42B7-AE11-71FF9660C34F}"/>
            </c:ext>
          </c:extLst>
        </c:ser>
        <c:ser>
          <c:idx val="1"/>
          <c:order val="1"/>
          <c:tx>
            <c:strRef>
              <c:f>Análisis!$D$11</c:f>
              <c:strCache>
                <c:ptCount val="1"/>
                <c:pt idx="0">
                  <c:v>Cantidad.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Análisis!$D$12:$D$24</c:f>
              <c:numCache>
                <c:formatCode>General</c:formatCode>
                <c:ptCount val="12"/>
                <c:pt idx="0">
                  <c:v>230</c:v>
                </c:pt>
                <c:pt idx="1">
                  <c:v>340</c:v>
                </c:pt>
                <c:pt idx="2">
                  <c:v>200</c:v>
                </c:pt>
                <c:pt idx="3">
                  <c:v>540</c:v>
                </c:pt>
                <c:pt idx="4">
                  <c:v>250</c:v>
                </c:pt>
                <c:pt idx="5">
                  <c:v>2510</c:v>
                </c:pt>
                <c:pt idx="6">
                  <c:v>530</c:v>
                </c:pt>
                <c:pt idx="7">
                  <c:v>860</c:v>
                </c:pt>
                <c:pt idx="8">
                  <c:v>880</c:v>
                </c:pt>
                <c:pt idx="9">
                  <c:v>730</c:v>
                </c:pt>
                <c:pt idx="10">
                  <c:v>560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E-42B7-AE11-71FF9660C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562592"/>
        <c:axId val="480228192"/>
      </c:barChart>
      <c:lineChart>
        <c:grouping val="standard"/>
        <c:varyColors val="0"/>
        <c:ser>
          <c:idx val="2"/>
          <c:order val="2"/>
          <c:tx>
            <c:strRef>
              <c:f>Análisis!$E$11</c:f>
              <c:strCache>
                <c:ptCount val="1"/>
                <c:pt idx="0">
                  <c:v>Ratio V/C (p. Unit)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Análisis!$B$12:$B$24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Análisis!$E$12:$E$24</c:f>
              <c:numCache>
                <c:formatCode>0.00</c:formatCode>
                <c:ptCount val="12"/>
                <c:pt idx="0">
                  <c:v>7.6304347826086953</c:v>
                </c:pt>
                <c:pt idx="1">
                  <c:v>4.5441176470588234</c:v>
                </c:pt>
                <c:pt idx="2">
                  <c:v>9.1</c:v>
                </c:pt>
                <c:pt idx="3">
                  <c:v>6.416666666666667</c:v>
                </c:pt>
                <c:pt idx="4">
                  <c:v>8.4</c:v>
                </c:pt>
                <c:pt idx="5">
                  <c:v>2.0219123505976095</c:v>
                </c:pt>
                <c:pt idx="6">
                  <c:v>4.7547169811320753</c:v>
                </c:pt>
                <c:pt idx="7">
                  <c:v>3.7034883720930232</c:v>
                </c:pt>
                <c:pt idx="8">
                  <c:v>3.0079545454545453</c:v>
                </c:pt>
                <c:pt idx="9">
                  <c:v>3.419178082191781</c:v>
                </c:pt>
                <c:pt idx="10">
                  <c:v>3.2089285714285714</c:v>
                </c:pt>
                <c:pt idx="11">
                  <c:v>13.727777777777778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E-42B7-AE11-71FF9660C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426192"/>
        <c:axId val="1452425776"/>
      </c:lineChart>
      <c:catAx>
        <c:axId val="144756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228192"/>
        <c:crosses val="autoZero"/>
        <c:auto val="1"/>
        <c:lblAlgn val="ctr"/>
        <c:lblOffset val="100"/>
        <c:noMultiLvlLbl val="0"/>
      </c:catAx>
      <c:valAx>
        <c:axId val="4802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Factuación/cantidad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7562592"/>
        <c:crosses val="autoZero"/>
        <c:crossBetween val="between"/>
      </c:valAx>
      <c:valAx>
        <c:axId val="14524257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2426192"/>
        <c:crosses val="max"/>
        <c:crossBetween val="between"/>
      </c:valAx>
      <c:catAx>
        <c:axId val="145242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2425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Pr. &gt; $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Productos</a:t>
            </a:r>
            <a:r>
              <a:rPr lang="es-CO" baseline="0"/>
              <a:t> más populares según factuación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174246809723073"/>
          <c:y val="0.38072173162472611"/>
          <c:w val="0.57152139319636586"/>
          <c:h val="0.381238518911980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Análisis!$C$29</c:f>
              <c:strCache>
                <c:ptCount val="1"/>
                <c:pt idx="0">
                  <c:v> Venta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Análisis!$B$30:$B$35</c:f>
              <c:strCache>
                <c:ptCount val="5"/>
                <c:pt idx="0">
                  <c:v>Formule Sandwich</c:v>
                </c:pt>
                <c:pt idx="1">
                  <c:v>Traiteur</c:v>
                </c:pt>
                <c:pt idx="2">
                  <c:v>Sandwich Complet</c:v>
                </c:pt>
                <c:pt idx="3">
                  <c:v>Cafe Ou Eau</c:v>
                </c:pt>
                <c:pt idx="4">
                  <c:v>Gd Kouign Amann</c:v>
                </c:pt>
              </c:strCache>
            </c:strRef>
          </c:cat>
          <c:val>
            <c:numRef>
              <c:f>Análisis!$C$30:$C$35</c:f>
              <c:numCache>
                <c:formatCode>_-"$"\ * #,##0_-;\-"$"\ * #,##0_-;_-"$"\ * "-"??_-;_-@_-</c:formatCode>
                <c:ptCount val="5"/>
                <c:pt idx="0">
                  <c:v>9945</c:v>
                </c:pt>
                <c:pt idx="1">
                  <c:v>3191</c:v>
                </c:pt>
                <c:pt idx="2">
                  <c:v>2025</c:v>
                </c:pt>
                <c:pt idx="3">
                  <c:v>2000</c:v>
                </c:pt>
                <c:pt idx="4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F-405A-B2A3-B39D997635DF}"/>
            </c:ext>
          </c:extLst>
        </c:ser>
        <c:ser>
          <c:idx val="1"/>
          <c:order val="1"/>
          <c:tx>
            <c:strRef>
              <c:f>Análisis!$D$29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Análisis!$B$30:$B$35</c:f>
              <c:strCache>
                <c:ptCount val="5"/>
                <c:pt idx="0">
                  <c:v>Formule Sandwich</c:v>
                </c:pt>
                <c:pt idx="1">
                  <c:v>Traiteur</c:v>
                </c:pt>
                <c:pt idx="2">
                  <c:v>Sandwich Complet</c:v>
                </c:pt>
                <c:pt idx="3">
                  <c:v>Cafe Ou Eau</c:v>
                </c:pt>
                <c:pt idx="4">
                  <c:v>Gd Kouign Amann</c:v>
                </c:pt>
              </c:strCache>
            </c:strRef>
          </c:cat>
          <c:val>
            <c:numRef>
              <c:f>Análisis!$D$30:$D$35</c:f>
              <c:numCache>
                <c:formatCode>General</c:formatCode>
                <c:ptCount val="5"/>
                <c:pt idx="0">
                  <c:v>1530</c:v>
                </c:pt>
                <c:pt idx="1">
                  <c:v>270</c:v>
                </c:pt>
                <c:pt idx="2">
                  <c:v>450</c:v>
                </c:pt>
                <c:pt idx="3">
                  <c:v>2000</c:v>
                </c:pt>
                <c:pt idx="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F-405A-B2A3-B39D99763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0669872"/>
        <c:axId val="1300670288"/>
      </c:barChart>
      <c:catAx>
        <c:axId val="130066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0670288"/>
        <c:crosses val="autoZero"/>
        <c:auto val="1"/>
        <c:lblAlgn val="ctr"/>
        <c:lblOffset val="100"/>
        <c:noMultiLvlLbl val="0"/>
      </c:catAx>
      <c:valAx>
        <c:axId val="1300670288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3006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YT.xlsx]Análisis!Resumen Pr. &lt; $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baseline="0">
                <a:effectLst/>
              </a:rPr>
              <a:t>Productos menos populares según factuación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Análisis!$G$29</c:f>
              <c:strCache>
                <c:ptCount val="1"/>
                <c:pt idx="0">
                  <c:v>Suma de Venta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Análisis!$F$30:$F$35</c:f>
              <c:strCache>
                <c:ptCount val="5"/>
                <c:pt idx="0">
                  <c:v>Tartelette Fraise</c:v>
                </c:pt>
                <c:pt idx="1">
                  <c:v>Tarte Fruits 4P</c:v>
                </c:pt>
                <c:pt idx="2">
                  <c:v>Pt Nantais</c:v>
                </c:pt>
                <c:pt idx="3">
                  <c:v>Sand Jb Emmental</c:v>
                </c:pt>
                <c:pt idx="4">
                  <c:v>Galette 8 Pers</c:v>
                </c:pt>
              </c:strCache>
            </c:strRef>
          </c:cat>
          <c:val>
            <c:numRef>
              <c:f>Análisis!$G$30:$G$35</c:f>
              <c:numCache>
                <c:formatCode>_-"$"\ * #,##0_-;\-"$"\ * #,##0_-;_-"$"\ * "-"??_-;_-@_-</c:formatCode>
                <c:ptCount val="5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175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1-46DD-9A77-9321C8B86AF6}"/>
            </c:ext>
          </c:extLst>
        </c:ser>
        <c:ser>
          <c:idx val="1"/>
          <c:order val="1"/>
          <c:tx>
            <c:strRef>
              <c:f>Análisis!$H$29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Análisis!$F$30:$F$35</c:f>
              <c:strCache>
                <c:ptCount val="5"/>
                <c:pt idx="0">
                  <c:v>Tartelette Fraise</c:v>
                </c:pt>
                <c:pt idx="1">
                  <c:v>Tarte Fruits 4P</c:v>
                </c:pt>
                <c:pt idx="2">
                  <c:v>Pt Nantais</c:v>
                </c:pt>
                <c:pt idx="3">
                  <c:v>Sand Jb Emmental</c:v>
                </c:pt>
                <c:pt idx="4">
                  <c:v>Galette 8 Pers</c:v>
                </c:pt>
              </c:strCache>
            </c:strRef>
          </c:cat>
          <c:val>
            <c:numRef>
              <c:f>Análisis!$H$30:$H$35</c:f>
              <c:numCache>
                <c:formatCode>General</c:formatCode>
                <c:ptCount val="5"/>
                <c:pt idx="0">
                  <c:v>80</c:v>
                </c:pt>
                <c:pt idx="1">
                  <c:v>20</c:v>
                </c:pt>
                <c:pt idx="2">
                  <c:v>60</c:v>
                </c:pt>
                <c:pt idx="3">
                  <c:v>50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1-46DD-9A77-9321C8B86A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7300368"/>
        <c:axId val="617297456"/>
      </c:barChart>
      <c:catAx>
        <c:axId val="61730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7297456"/>
        <c:crosses val="autoZero"/>
        <c:auto val="1"/>
        <c:lblAlgn val="ctr"/>
        <c:lblOffset val="100"/>
        <c:noMultiLvlLbl val="0"/>
      </c:catAx>
      <c:valAx>
        <c:axId val="617297456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173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18720294519409"/>
          <c:y val="0.84156298970609633"/>
          <c:w val="0.8213199284740047"/>
          <c:h val="8.6287226298531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&gt; Q. 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más vendidos Q por</a:t>
            </a:r>
            <a:r>
              <a:rPr lang="en-US" baseline="0"/>
              <a:t>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Análisis!$B$43:$B$49</c:f>
              <c:multiLvlStrCache>
                <c:ptCount val="5"/>
                <c:lvl>
                  <c:pt idx="0">
                    <c:v>Cafe Ou Eau</c:v>
                  </c:pt>
                  <c:pt idx="1">
                    <c:v>Formule Sandwich</c:v>
                  </c:pt>
                  <c:pt idx="2">
                    <c:v>Croissant</c:v>
                  </c:pt>
                  <c:pt idx="3">
                    <c:v>Traditional Baguette</c:v>
                  </c:pt>
                  <c:pt idx="4">
                    <c:v>Sandwich Complet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Análisis!$C$43:$C$49</c:f>
              <c:numCache>
                <c:formatCode>General</c:formatCode>
                <c:ptCount val="5"/>
                <c:pt idx="0">
                  <c:v>2000</c:v>
                </c:pt>
                <c:pt idx="1">
                  <c:v>1530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3-4276-99FD-750E83A6A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3395888"/>
        <c:axId val="1393396720"/>
      </c:barChart>
      <c:catAx>
        <c:axId val="1393395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3396720"/>
        <c:crosses val="autoZero"/>
        <c:auto val="1"/>
        <c:lblAlgn val="ctr"/>
        <c:lblOffset val="100"/>
        <c:noMultiLvlLbl val="0"/>
      </c:catAx>
      <c:valAx>
        <c:axId val="139339672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9339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&gt; $. 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más facturan $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Análisis!$F$42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Análisis!$E$43:$E$47</c:f>
              <c:multiLvlStrCache>
                <c:ptCount val="3"/>
                <c:lvl>
                  <c:pt idx="0">
                    <c:v>Sandwich Complet</c:v>
                  </c:pt>
                  <c:pt idx="1">
                    <c:v>Traiteur</c:v>
                  </c:pt>
                  <c:pt idx="2">
                    <c:v>Formule Sandwich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Análisis!$F$43:$F$47</c:f>
              <c:numCache>
                <c:formatCode>_-"$"\ * #,##0_-;\-"$"\ * #,##0_-;_-"$"\ * "-"??_-;_-@_-</c:formatCode>
                <c:ptCount val="3"/>
                <c:pt idx="0">
                  <c:v>2025</c:v>
                </c:pt>
                <c:pt idx="1">
                  <c:v>3191</c:v>
                </c:pt>
                <c:pt idx="2">
                  <c:v>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8-4EC3-A68B-480636F70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9510496"/>
        <c:axId val="1549504672"/>
      </c:barChart>
      <c:catAx>
        <c:axId val="154951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04672"/>
        <c:crosses val="autoZero"/>
        <c:auto val="1"/>
        <c:lblAlgn val="ctr"/>
        <c:lblOffset val="100"/>
        <c:noMultiLvlLbl val="0"/>
      </c:catAx>
      <c:valAx>
        <c:axId val="1549504672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4951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&lt; Q. 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menos vendidos Q por tienda</a:t>
            </a:r>
          </a:p>
        </c:rich>
      </c:tx>
      <c:layout>
        <c:manualLayout>
          <c:xMode val="edge"/>
          <c:yMode val="edge"/>
          <c:x val="0.16389041714970626"/>
          <c:y val="2.46945563170197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05183727034117"/>
          <c:y val="0.17171296296296298"/>
          <c:w val="0.6709481627296588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Análisis!$I$42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Análisis!$H$43:$H$50</c:f>
              <c:multiLvlStrCache>
                <c:ptCount val="6"/>
                <c:lvl>
                  <c:pt idx="0">
                    <c:v>Tarte Fraise 6P</c:v>
                  </c:pt>
                  <c:pt idx="1">
                    <c:v>Buche 4Pers</c:v>
                  </c:pt>
                  <c:pt idx="2">
                    <c:v>Tarte Fruits 4P</c:v>
                  </c:pt>
                  <c:pt idx="3">
                    <c:v>Buche 6Pers</c:v>
                  </c:pt>
                  <c:pt idx="4">
                    <c:v>Buche 8Pers</c:v>
                  </c:pt>
                  <c:pt idx="5">
                    <c:v>Galette 8 Pers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Análisis!$I$43:$I$50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6-434D-9CAB-9387BCC84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1624464"/>
        <c:axId val="1571616560"/>
      </c:barChart>
      <c:catAx>
        <c:axId val="157162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1616560"/>
        <c:crosses val="autoZero"/>
        <c:auto val="1"/>
        <c:lblAlgn val="ctr"/>
        <c:lblOffset val="100"/>
        <c:noMultiLvlLbl val="0"/>
      </c:catAx>
      <c:valAx>
        <c:axId val="157161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162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Compartir YT.xlsx]Análisis!Pr. &lt; $. 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Productos menos facturan $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Análisis!$L$42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Análisis!$K$43:$K$49</c:f>
              <c:multiLvlStrCache>
                <c:ptCount val="5"/>
                <c:lvl>
                  <c:pt idx="0">
                    <c:v>Tartelette Fraise</c:v>
                  </c:pt>
                  <c:pt idx="1">
                    <c:v>Tarte Fruits 4P</c:v>
                  </c:pt>
                  <c:pt idx="2">
                    <c:v>Pt Nantais</c:v>
                  </c:pt>
                  <c:pt idx="3">
                    <c:v>Sand Jb Emmental</c:v>
                  </c:pt>
                  <c:pt idx="4">
                    <c:v>Galette 8 Pers</c:v>
                  </c:pt>
                </c:lvl>
                <c:lvl>
                  <c:pt idx="0">
                    <c:v>Lyon</c:v>
                  </c:pt>
                </c:lvl>
              </c:multiLvlStrCache>
            </c:multiLvlStrRef>
          </c:cat>
          <c:val>
            <c:numRef>
              <c:f>Análisis!$L$43:$L$49</c:f>
              <c:numCache>
                <c:formatCode>General</c:formatCode>
                <c:ptCount val="5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175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5-4730-B4BE-E0399D98D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7720496"/>
        <c:axId val="1597718416"/>
      </c:barChart>
      <c:catAx>
        <c:axId val="159772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7718416"/>
        <c:crosses val="autoZero"/>
        <c:auto val="1"/>
        <c:lblAlgn val="ctr"/>
        <c:lblOffset val="100"/>
        <c:noMultiLvlLbl val="0"/>
      </c:catAx>
      <c:valAx>
        <c:axId val="159771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77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216995</xdr:colOff>
      <xdr:row>40</xdr:row>
      <xdr:rowOff>92570</xdr:rowOff>
    </xdr:from>
    <xdr:to>
      <xdr:col>8</xdr:col>
      <xdr:colOff>728382</xdr:colOff>
      <xdr:row>56</xdr:row>
      <xdr:rowOff>112059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83CF5CFE-51DA-46D9-A3FB-423D6EC9A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242340</xdr:colOff>
      <xdr:row>44</xdr:row>
      <xdr:rowOff>157180</xdr:rowOff>
    </xdr:from>
    <xdr:to>
      <xdr:col>21</xdr:col>
      <xdr:colOff>78441</xdr:colOff>
      <xdr:row>62</xdr:row>
      <xdr:rowOff>131466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59349435-D8A5-45A8-B8A2-54C38B3C0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189957</xdr:colOff>
      <xdr:row>15</xdr:row>
      <xdr:rowOff>132393</xdr:rowOff>
    </xdr:from>
    <xdr:to>
      <xdr:col>8</xdr:col>
      <xdr:colOff>739588</xdr:colOff>
      <xdr:row>29</xdr:row>
      <xdr:rowOff>145677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B77E95D-2C0A-4DB0-AAEF-BC51595E5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210137</xdr:colOff>
      <xdr:row>30</xdr:row>
      <xdr:rowOff>19843</xdr:rowOff>
    </xdr:from>
    <xdr:to>
      <xdr:col>8</xdr:col>
      <xdr:colOff>717177</xdr:colOff>
      <xdr:row>39</xdr:row>
      <xdr:rowOff>179294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AD6DC08C-34FC-42D4-B3E8-6CEC3EC64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189366</xdr:colOff>
      <xdr:row>4</xdr:row>
      <xdr:rowOff>162150</xdr:rowOff>
    </xdr:from>
    <xdr:to>
      <xdr:col>21</xdr:col>
      <xdr:colOff>0</xdr:colOff>
      <xdr:row>22</xdr:row>
      <xdr:rowOff>136435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AC2A8CFD-1A8E-4FF7-BFCF-CCB90669A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188033</xdr:colOff>
      <xdr:row>23</xdr:row>
      <xdr:rowOff>83709</xdr:rowOff>
    </xdr:from>
    <xdr:to>
      <xdr:col>21</xdr:col>
      <xdr:colOff>86591</xdr:colOff>
      <xdr:row>41</xdr:row>
      <xdr:rowOff>102817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469DDB6B-0BA6-4C2D-B92B-89F34CD38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121335</xdr:colOff>
      <xdr:row>4</xdr:row>
      <xdr:rowOff>133699</xdr:rowOff>
    </xdr:from>
    <xdr:to>
      <xdr:col>29</xdr:col>
      <xdr:colOff>13607</xdr:colOff>
      <xdr:row>22</xdr:row>
      <xdr:rowOff>107984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FD8CF7D-426D-40A6-9295-E534D3701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33923</xdr:colOff>
      <xdr:row>24</xdr:row>
      <xdr:rowOff>13760</xdr:rowOff>
    </xdr:from>
    <xdr:to>
      <xdr:col>29</xdr:col>
      <xdr:colOff>27215</xdr:colOff>
      <xdr:row>42</xdr:row>
      <xdr:rowOff>44949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995F04CA-4D23-4B85-BA38-E8EB1F02C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236789</xdr:colOff>
      <xdr:row>24</xdr:row>
      <xdr:rowOff>14998</xdr:rowOff>
    </xdr:from>
    <xdr:to>
      <xdr:col>34</xdr:col>
      <xdr:colOff>54428</xdr:colOff>
      <xdr:row>42</xdr:row>
      <xdr:rowOff>46187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6973BA8-F2EF-4EC3-B54C-BA5566465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184834</xdr:colOff>
      <xdr:row>4</xdr:row>
      <xdr:rowOff>162150</xdr:rowOff>
    </xdr:from>
    <xdr:to>
      <xdr:col>33</xdr:col>
      <xdr:colOff>761999</xdr:colOff>
      <xdr:row>22</xdr:row>
      <xdr:rowOff>136435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9E1999F-8E25-4850-A260-04DF55C21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201543</xdr:colOff>
      <xdr:row>2</xdr:row>
      <xdr:rowOff>172832</xdr:rowOff>
    </xdr:from>
    <xdr:to>
      <xdr:col>4</xdr:col>
      <xdr:colOff>392043</xdr:colOff>
      <xdr:row>12</xdr:row>
      <xdr:rowOff>133450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Tienda">
              <a:extLst>
                <a:ext uri="{FF2B5EF4-FFF2-40B4-BE49-F238E27FC236}">
                  <a16:creationId xmlns:a16="http://schemas.microsoft.com/office/drawing/2014/main" id="{B16D338D-7A5C-448E-A682-7859FFA15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43" y="798761"/>
              <a:ext cx="3238500" cy="197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572289</xdr:colOff>
      <xdr:row>2</xdr:row>
      <xdr:rowOff>163522</xdr:rowOff>
    </xdr:from>
    <xdr:to>
      <xdr:col>8</xdr:col>
      <xdr:colOff>684775</xdr:colOff>
      <xdr:row>12</xdr:row>
      <xdr:rowOff>89669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5" name="Fecha">
              <a:extLst>
                <a:ext uri="{FF2B5EF4-FFF2-40B4-BE49-F238E27FC236}">
                  <a16:creationId xmlns:a16="http://schemas.microsoft.com/office/drawing/2014/main" id="{ADD554BB-E07A-486E-A310-A9B4C9DD4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0289" y="789451"/>
              <a:ext cx="3160486" cy="19400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1124627</xdr:colOff>
      <xdr:row>2</xdr:row>
      <xdr:rowOff>0</xdr:rowOff>
    </xdr:from>
    <xdr:to>
      <xdr:col>28</xdr:col>
      <xdr:colOff>854808</xdr:colOff>
      <xdr:row>7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36BBF-1575-478B-4790-902AB6593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16907</xdr:colOff>
      <xdr:row>8</xdr:row>
      <xdr:rowOff>86379</xdr:rowOff>
    </xdr:from>
    <xdr:to>
      <xdr:col>29</xdr:col>
      <xdr:colOff>28574</xdr:colOff>
      <xdr:row>23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148909-94B0-D131-742F-B10F34E76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2202</xdr:colOff>
      <xdr:row>25</xdr:row>
      <xdr:rowOff>0</xdr:rowOff>
    </xdr:from>
    <xdr:to>
      <xdr:col>27</xdr:col>
      <xdr:colOff>835526</xdr:colOff>
      <xdr:row>37</xdr:row>
      <xdr:rowOff>16710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AD9B1A-C6F6-50A5-3E1B-42EB8A56C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969210</xdr:colOff>
      <xdr:row>25</xdr:row>
      <xdr:rowOff>0</xdr:rowOff>
    </xdr:from>
    <xdr:to>
      <xdr:col>29</xdr:col>
      <xdr:colOff>969210</xdr:colOff>
      <xdr:row>37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1BBB3D3-4A0D-2DA6-008E-88F8B3D3C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768229</xdr:colOff>
      <xdr:row>38</xdr:row>
      <xdr:rowOff>96847</xdr:rowOff>
    </xdr:from>
    <xdr:to>
      <xdr:col>26</xdr:col>
      <xdr:colOff>1403683</xdr:colOff>
      <xdr:row>54</xdr:row>
      <xdr:rowOff>133684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19A3FCD-43AB-CE6D-A8B3-D5E3C99BE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181537</xdr:colOff>
      <xdr:row>38</xdr:row>
      <xdr:rowOff>85634</xdr:rowOff>
    </xdr:from>
    <xdr:to>
      <xdr:col>29</xdr:col>
      <xdr:colOff>434473</xdr:colOff>
      <xdr:row>55</xdr:row>
      <xdr:rowOff>50131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281F77A-DD29-9275-C52F-C3AA161A5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161713</xdr:colOff>
      <xdr:row>56</xdr:row>
      <xdr:rowOff>79557</xdr:rowOff>
    </xdr:from>
    <xdr:to>
      <xdr:col>27</xdr:col>
      <xdr:colOff>150394</xdr:colOff>
      <xdr:row>71</xdr:row>
      <xdr:rowOff>150395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CB912B2-95F3-F715-6D2E-BCE20B0D2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313628</xdr:colOff>
      <xdr:row>56</xdr:row>
      <xdr:rowOff>170326</xdr:rowOff>
    </xdr:from>
    <xdr:to>
      <xdr:col>29</xdr:col>
      <xdr:colOff>802106</xdr:colOff>
      <xdr:row>72</xdr:row>
      <xdr:rowOff>16711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7F43BFB-98D8-DFCB-7EF0-B1C3EA5E0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Niño Beltran" refreshedDate="44938.73694328704" createdVersion="8" refreshedVersion="8" minRefreshableVersion="3" recordCount="240" xr:uid="{2D0BD98C-2C8D-43A4-967F-48D1CFEED541}">
  <cacheSource type="worksheet">
    <worksheetSource name="registro"/>
  </cacheSource>
  <cacheFields count="11">
    <cacheField name="Record" numFmtId="0">
      <sharedItems containsSemiMixedTypes="0" containsString="0" containsNumber="1" containsInteger="1" minValue="300" maxValue="285806"/>
    </cacheField>
    <cacheField name="Ticket" numFmtId="0">
      <sharedItems containsSemiMixedTypes="0" containsString="0" containsNumber="1" containsInteger="1" minValue="1501130" maxValue="2272760"/>
    </cacheField>
    <cacheField name="Tienda" numFmtId="165">
      <sharedItems count="2">
        <s v="Lyon"/>
        <s v="Marsella"/>
      </sharedItems>
    </cacheField>
    <cacheField name="Fecha" numFmtId="14">
      <sharedItems containsSemiMixedTypes="0" containsNonDate="0" containsDate="1" containsString="0" minDate="2022-01-02T00:00:00" maxDate="2023-01-01T00:00:00" count="157">
        <d v="2022-01-02T00:00:00"/>
        <d v="2022-01-03T00:00:00"/>
        <d v="2022-01-05T00:00:00"/>
        <d v="2022-01-09T00:00:00"/>
        <d v="2022-01-10T00:00:00"/>
        <d v="2022-01-14T00:00:00"/>
        <d v="2022-01-15T00:00:00"/>
        <d v="2022-01-17T00:00:00"/>
        <d v="2022-01-18T00:00:00"/>
        <d v="2022-01-22T00:00:00"/>
        <d v="2022-01-23T00:00:00"/>
        <d v="2022-01-24T00:00:00"/>
        <d v="2022-01-31T00:00:00"/>
        <d v="2022-02-06T00:00:00"/>
        <d v="2022-02-08T00:00:00"/>
        <d v="2022-02-12T00:00:00"/>
        <d v="2022-02-13T00:00:00"/>
        <d v="2022-02-15T00:00:00"/>
        <d v="2022-02-16T00:00:00"/>
        <d v="2022-02-20T00:00:00"/>
        <d v="2022-02-21T00:00:00"/>
        <d v="2022-02-23T00:00:00"/>
        <d v="2022-02-25T00:00:00"/>
        <d v="2022-02-26T00:00:00"/>
        <d v="2022-02-27T00:00:00"/>
        <d v="2022-02-28T00:00:00"/>
        <d v="2022-03-04T00:00:00"/>
        <d v="2022-03-05T00:00:00"/>
        <d v="2022-03-06T00:00:00"/>
        <d v="2022-03-08T00:00:00"/>
        <d v="2022-03-12T00:00:00"/>
        <d v="2022-03-13T00:00:00"/>
        <d v="2022-03-14T00:00:00"/>
        <d v="2022-03-20T00:00:00"/>
        <d v="2022-03-21T00:00:00"/>
        <d v="2022-03-25T00:00:00"/>
        <d v="2022-03-26T00:00:00"/>
        <d v="2022-03-27T00:00:00"/>
        <d v="2022-03-28T00:00:00"/>
        <d v="2022-03-29T00:00:00"/>
        <d v="2022-04-04T00:00:00"/>
        <d v="2022-04-05T00:00:00"/>
        <d v="2022-04-06T00:00:00"/>
        <d v="2022-04-17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30T00:00:00"/>
        <d v="2022-05-09T00:00:00"/>
        <d v="2022-05-13T00:00:00"/>
        <d v="2022-05-15T00:00:00"/>
        <d v="2022-05-16T00:00:00"/>
        <d v="2022-05-22T00:00:00"/>
        <d v="2022-05-23T00:00:00"/>
        <d v="2022-05-24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7T00:00:00"/>
        <d v="2022-06-08T00:00:00"/>
        <d v="2022-06-09T00:00:00"/>
        <d v="2022-06-10T00:00:00"/>
        <d v="2022-06-11T00:00:00"/>
        <d v="2022-06-12T00:00:00"/>
        <d v="2022-06-14T00:00:00"/>
        <d v="2022-06-15T00:00:00"/>
        <d v="2022-06-21T00:00:00"/>
        <d v="2022-06-22T00:00:00"/>
        <d v="2022-06-23T00:00:00"/>
        <d v="2022-06-24T00:00:00"/>
        <d v="2022-06-29T00:00:00"/>
        <d v="2022-07-03T00:00:00"/>
        <d v="2022-07-11T00:00:00"/>
        <d v="2022-07-13T00:00:00"/>
        <d v="2022-07-14T00:00:00"/>
        <d v="2022-07-15T00:00:00"/>
        <d v="2022-07-16T00:00:00"/>
        <d v="2022-07-19T00:00:00"/>
        <d v="2022-07-21T00:00:00"/>
        <d v="2022-07-23T00:00:00"/>
        <d v="2022-07-24T00:00:00"/>
        <d v="2022-07-26T00:00:00"/>
        <d v="2022-07-30T00:00:00"/>
        <d v="2022-07-31T00:00:00"/>
        <d v="2022-08-01T00:00:00"/>
        <d v="2022-08-02T00:00:00"/>
        <d v="2022-08-03T00:00:00"/>
        <d v="2022-08-05T00:00:00"/>
        <d v="2022-08-07T00:00:00"/>
        <d v="2022-08-08T00:00:00"/>
        <d v="2022-08-11T00:00:00"/>
        <d v="2022-08-12T00:00:00"/>
        <d v="2022-08-14T00:00:00"/>
        <d v="2022-08-15T00:00:00"/>
        <d v="2022-08-17T00:00:00"/>
        <d v="2022-08-21T00:00:00"/>
        <d v="2022-08-22T00:00:00"/>
        <d v="2022-08-24T00:00:00"/>
        <d v="2022-08-26T00:00:00"/>
        <d v="2022-08-27T00:00:00"/>
        <d v="2022-08-29T00:00:00"/>
        <d v="2022-09-02T00:00:00"/>
        <d v="2022-09-04T00:00:00"/>
        <d v="2022-09-08T00:00:00"/>
        <d v="2022-09-09T00:00:00"/>
        <d v="2022-09-10T00:00:00"/>
        <d v="2022-09-12T00:00:00"/>
        <d v="2022-09-14T00:00:00"/>
        <d v="2022-09-15T00:00:00"/>
        <d v="2022-09-16T00:00:00"/>
        <d v="2022-09-17T00:00:00"/>
        <d v="2022-09-18T00:00:00"/>
        <d v="2022-09-21T00:00:00"/>
        <d v="2022-09-24T00:00:00"/>
        <d v="2022-09-25T00:00:00"/>
        <d v="2022-09-27T00:00:00"/>
        <d v="2022-10-01T00:00:00"/>
        <d v="2022-10-05T00:00:00"/>
        <d v="2022-10-09T00:00:00"/>
        <d v="2022-10-15T00:00:00"/>
        <d v="2022-10-16T00:00:00"/>
        <d v="2022-10-19T00:00:00"/>
        <d v="2022-10-20T00:00:00"/>
        <d v="2022-10-24T00:00:00"/>
        <d v="2022-10-25T00:00:00"/>
        <d v="2022-10-29T00:00:00"/>
        <d v="2022-10-31T00:00:00"/>
        <d v="2022-11-01T00:00:00"/>
        <d v="2022-11-02T00:00:00"/>
        <d v="2022-11-04T00:00:00"/>
        <d v="2022-11-06T00:00:00"/>
        <d v="2022-11-08T00:00:00"/>
        <d v="2022-11-09T00:00:00"/>
        <d v="2022-11-12T00:00:00"/>
        <d v="2022-11-19T00:00:00"/>
        <d v="2022-11-20T00:00:00"/>
        <d v="2022-11-22T00:00:00"/>
        <d v="2022-11-27T00:00:00"/>
        <d v="2022-11-30T00:00:00"/>
        <d v="2022-12-10T00:00:00"/>
        <d v="2022-12-21T00:00:00"/>
        <d v="2022-12-23T00:00:00"/>
        <d v="2022-12-24T00:00:00"/>
        <d v="2022-12-25T00:00:00"/>
        <d v="2022-12-27T00:00:00"/>
        <d v="2022-12-30T00:00:00"/>
        <d v="2022-12-31T00:00:00"/>
      </sharedItems>
      <fieldGroup base="3">
        <rangePr groupBy="months" startDate="2022-01-02T00:00:00" endDate="2023-01-01T00:00:00"/>
        <groupItems count="14">
          <s v="&lt;02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3"/>
        </groupItems>
      </fieldGroup>
    </cacheField>
    <cacheField name="Hora" numFmtId="168">
      <sharedItems containsSemiMixedTypes="0" containsNonDate="0" containsDate="1" containsString="0" minDate="1899-12-30T08:05:00" maxDate="1899-12-30T19:19:00" count="173">
        <d v="1899-12-30T11:44:00"/>
        <d v="1899-12-30T12:19:00"/>
        <d v="1899-12-30T13:10:00"/>
        <d v="1899-12-30T12:04:00"/>
        <d v="1899-12-30T09:33:00"/>
        <d v="1899-12-30T12:46:00"/>
        <d v="1899-12-30T13:23:00"/>
        <d v="1899-12-30T13:33:00"/>
        <d v="1899-12-30T11:14:00"/>
        <d v="1899-12-30T10:03:00"/>
        <d v="1899-12-30T11:03:00"/>
        <d v="1899-12-30T11:45:00"/>
        <d v="1899-12-30T12:42:00"/>
        <d v="1899-12-30T09:04:00"/>
        <d v="1899-12-30T11:47:00"/>
        <d v="1899-12-30T11:55:00"/>
        <d v="1899-12-30T12:44:00"/>
        <d v="1899-12-30T11:59:00"/>
        <d v="1899-12-30T13:15:00"/>
        <d v="1899-12-30T13:01:00"/>
        <d v="1899-12-30T13:36:00"/>
        <d v="1899-12-30T12:02:00"/>
        <d v="1899-12-30T12:07:00"/>
        <d v="1899-12-30T13:14:00"/>
        <d v="1899-12-30T13:07:00"/>
        <d v="1899-12-30T10:25:00"/>
        <d v="1899-12-30T12:31:00"/>
        <d v="1899-12-30T11:02:00"/>
        <d v="1899-12-30T13:43:00"/>
        <d v="1899-12-30T13:57:00"/>
        <d v="1899-12-30T18:04:00"/>
        <d v="1899-12-30T11:05:00"/>
        <d v="1899-12-30T10:41:00"/>
        <d v="1899-12-30T12:54:00"/>
        <d v="1899-12-30T13:41:00"/>
        <d v="1899-12-30T09:49:00"/>
        <d v="1899-12-30T10:59:00"/>
        <d v="1899-12-30T11:24:00"/>
        <d v="1899-12-30T13:06:00"/>
        <d v="1899-12-30T13:21:00"/>
        <d v="1899-12-30T12:13:00"/>
        <d v="1899-12-30T17:20:00"/>
        <d v="1899-12-30T13:56:00"/>
        <d v="1899-12-30T10:27:00"/>
        <d v="1899-12-30T09:21:00"/>
        <d v="1899-12-30T10:47:00"/>
        <d v="1899-12-30T13:37:00"/>
        <d v="1899-12-30T10:22:00"/>
        <d v="1899-12-30T14:02:00"/>
        <d v="1899-12-30T08:39:00"/>
        <d v="1899-12-30T13:05:00"/>
        <d v="1899-12-30T12:03:00"/>
        <d v="1899-12-30T09:31:00"/>
        <d v="1899-12-30T08:57:00"/>
        <d v="1899-12-30T10:43:00"/>
        <d v="1899-12-30T12:27:00"/>
        <d v="1899-12-30T10:05:00"/>
        <d v="1899-12-30T10:24:00"/>
        <d v="1899-12-30T08:54:00"/>
        <d v="1899-12-30T09:13:00"/>
        <d v="1899-12-30T10:33:00"/>
        <d v="1899-12-30T12:38:00"/>
        <d v="1899-12-30T12:24:00"/>
        <d v="1899-12-30T08:50:00"/>
        <d v="1899-12-30T10:18:00"/>
        <d v="1899-12-30T12:45:00"/>
        <d v="1899-12-30T13:02:00"/>
        <d v="1899-12-30T10:17:00"/>
        <d v="1899-12-30T10:45:00"/>
        <d v="1899-12-30T10:38:00"/>
        <d v="1899-12-30T13:11:00"/>
        <d v="1899-12-30T11:26:00"/>
        <d v="1899-12-30T12:17:00"/>
        <d v="1899-12-30T08:32:00"/>
        <d v="1899-12-30T11:04:00"/>
        <d v="1899-12-30T09:45:00"/>
        <d v="1899-12-30T11:53:00"/>
        <d v="1899-12-30T09:40:00"/>
        <d v="1899-12-30T08:05:00"/>
        <d v="1899-12-30T11:35:00"/>
        <d v="1899-12-30T16:43:00"/>
        <d v="1899-12-30T09:14:00"/>
        <d v="1899-12-30T08:38:00"/>
        <d v="1899-12-30T12:15:00"/>
        <d v="1899-12-30T12:10:00"/>
        <d v="1899-12-30T10:31:00"/>
        <d v="1899-12-30T11:21:00"/>
        <d v="1899-12-30T12:20:00"/>
        <d v="1899-12-30T12:14:00"/>
        <d v="1899-12-30T12:23:00"/>
        <d v="1899-12-30T12:18:00"/>
        <d v="1899-12-30T10:50:00"/>
        <d v="1899-12-30T09:58:00"/>
        <d v="1899-12-30T12:51:00"/>
        <d v="1899-12-30T12:12:00"/>
        <d v="1899-12-30T12:30:00"/>
        <d v="1899-12-30T12:21:00"/>
        <d v="1899-12-30T12:05:00"/>
        <d v="1899-12-30T10:30:00"/>
        <d v="1899-12-30T11:16:00"/>
        <d v="1899-12-30T10:35:00"/>
        <d v="1899-12-30T09:53:00"/>
        <d v="1899-12-30T10:23:00"/>
        <d v="1899-12-30T10:34:00"/>
        <d v="1899-12-30T10:12:00"/>
        <d v="1899-12-30T16:26:00"/>
        <d v="1899-12-30T16:31:00"/>
        <d v="1899-12-30T17:07:00"/>
        <d v="1899-12-30T12:32:00"/>
        <d v="1899-12-30T12:11:00"/>
        <d v="1899-12-30T11:48:00"/>
        <d v="1899-12-30T18:13:00"/>
        <d v="1899-12-30T13:08:00"/>
        <d v="1899-12-30T13:19:00"/>
        <d v="1899-12-30T18:27:00"/>
        <d v="1899-12-30T12:16:00"/>
        <d v="1899-12-30T09:25:00"/>
        <d v="1899-12-30T08:06:00"/>
        <d v="1899-12-30T09:43:00"/>
        <d v="1899-12-30T16:08:00"/>
        <d v="1899-12-30T19:19:00"/>
        <d v="1899-12-30T08:16:00"/>
        <d v="1899-12-30T13:24:00"/>
        <d v="1899-12-30T13:35:00"/>
        <d v="1899-12-30T12:06:00"/>
        <d v="1899-12-30T12:55:00"/>
        <d v="1899-12-30T08:25:00"/>
        <d v="1899-12-30T11:25:00"/>
        <d v="1899-12-30T12:09:00"/>
        <d v="1899-12-30T12:47:00"/>
        <d v="1899-12-30T08:51:00"/>
        <d v="1899-12-30T10:13:00"/>
        <d v="1899-12-30T11:43:00"/>
        <d v="1899-12-30T12:26:00"/>
        <d v="1899-12-30T12:37:00"/>
        <d v="1899-12-30T16:15:00"/>
        <d v="1899-12-30T10:40:00"/>
        <d v="1899-12-30T18:32:00"/>
        <d v="1899-12-30T09:34:00"/>
        <d v="1899-12-30T13:09:00"/>
        <d v="1899-12-30T12:39:00"/>
        <d v="1899-12-30T13:04:00"/>
        <d v="1899-12-30T10:52:00"/>
        <d v="1899-12-30T12:22:00"/>
        <d v="1899-12-30T11:19:00"/>
        <d v="1899-12-30T12:50:00"/>
        <d v="1899-12-30T11:18:00"/>
        <d v="1899-12-30T11:39:00"/>
        <d v="1899-12-30T12:00:00"/>
        <d v="1899-12-30T10:42:00"/>
        <d v="1899-12-30T08:58:00"/>
        <d v="1899-12-30T13:50:00"/>
        <d v="1899-12-30T12:53:00"/>
        <d v="1899-12-30T11:33:00"/>
        <d v="1899-12-30T10:51:00"/>
        <d v="1899-12-30T10:19:00"/>
        <d v="1899-12-30T19:03:00"/>
        <d v="1899-12-30T08:53:00"/>
        <d v="1899-12-30T18:11:00"/>
        <d v="1899-12-30T11:32:00"/>
        <d v="1899-12-30T09:47:00"/>
        <d v="1899-12-30T11:10:00"/>
        <d v="1899-12-30T12:40:00"/>
        <d v="1899-12-30T11:51:00"/>
        <d v="1899-12-30T09:28:00"/>
        <d v="1899-12-30T16:00:00"/>
        <d v="1899-12-30T16:30:00"/>
        <d v="1899-12-30T17:24:00"/>
        <d v="1899-12-30T09:55:00"/>
        <d v="1899-12-30T09:51:00"/>
        <d v="1899-12-30T11:52:00"/>
        <d v="1899-12-30T11:41:00"/>
        <d v="1899-12-30T17:41:00"/>
      </sharedItems>
      <fieldGroup par="9" base="4">
        <rangePr groupBy="minutes" startDate="1899-12-30T08:05:00" endDate="1899-12-30T19:1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Artículo" numFmtId="0">
      <sharedItems count="39">
        <s v="Sand Jb Emmental"/>
        <s v="Gal Frangipane 4P"/>
        <s v="Grand Far Breton"/>
        <s v="Gal Pomme 4P"/>
        <s v="Gd Kouign Amann"/>
        <s v="Formule Sandwich"/>
        <s v="Galette 8 Pers"/>
        <s v="Divers Patisserie"/>
        <s v="Croissant"/>
        <s v="Gal Pomme 6P"/>
        <s v="Sandwich Complet"/>
        <s v="Gal Frangipane 6P"/>
        <s v="Royal 4P"/>
        <s v="Eclair"/>
        <s v="Royal 6P"/>
        <s v="Divers Viennoiserie"/>
        <s v="Tarte Fruits 4P"/>
        <s v="Traditional Baguette"/>
        <s v="Kouign Amann"/>
        <s v="Tarte Fraise 4Per"/>
        <s v="Tarte Fraise 6P"/>
        <s v="Baguette"/>
        <s v="Tarte Fruits 6P"/>
        <s v="Tartelette Fraise"/>
        <s v="Cafe Ou Eau"/>
        <s v="Campagne"/>
        <s v="Platprepare7,00"/>
        <s v="Tartelette"/>
        <s v="Traiteur"/>
        <s v="Seigle"/>
        <s v="Vik Bread"/>
        <s v="Gd Nantais"/>
        <s v="Pain Au Chocolat"/>
        <s v="Boule 400G"/>
        <s v="Pt Nantais"/>
        <s v="Buche 8Pers"/>
        <s v="Buche 6Pers"/>
        <s v="Divers Boulangerie"/>
        <s v="Buche 4Pers"/>
      </sharedItems>
    </cacheField>
    <cacheField name="Cantidad" numFmtId="0">
      <sharedItems containsSemiMixedTypes="0" containsString="0" containsNumber="1" containsInteger="1" minValue="10" maxValue="2000"/>
    </cacheField>
    <cacheField name="Precio Unit" numFmtId="166">
      <sharedItems containsSemiMixedTypes="0" containsString="0" containsNumber="1" minValue="0.9" maxValue="44"/>
    </cacheField>
    <cacheField name="Venta total" numFmtId="167">
      <sharedItems containsSemiMixedTypes="0" containsString="0" containsNumber="1" minValue="135" maxValue="2000"/>
    </cacheField>
    <cacheField name="Horas" numFmtId="0" databaseField="0">
      <fieldGroup base="4">
        <rangePr groupBy="hours" startDate="1899-12-30T08:05:00" endDate="1899-12-30T19:19:00"/>
        <groupItems count="26">
          <s v="&lt;00/01/1900"/>
          <s v="12 a. m."/>
          <s v="01 a. m."/>
          <s v="02 a. m."/>
          <s v="03 a. m."/>
          <s v="04 a. m."/>
          <s v="05 a. m."/>
          <s v="06 a. m."/>
          <s v="07 a. m."/>
          <s v="08 a. m."/>
          <s v="09 a. m."/>
          <s v="10 a. m."/>
          <s v="11 a. m."/>
          <s v="12 p. m."/>
          <s v="01 p. m."/>
          <s v="02 p. m."/>
          <s v="03 p. m."/>
          <s v="04 p. m."/>
          <s v="05 p. m."/>
          <s v="06 p. m."/>
          <s v="07 p. m."/>
          <s v="08 p. m."/>
          <s v="09 p. m."/>
          <s v="10 p. m."/>
          <s v="11 p. m."/>
          <s v="&gt;00/01/1900"/>
        </groupItems>
      </fieldGroup>
    </cacheField>
    <cacheField name="Campo1" numFmtId="0" formula="'Venta total'/Cantidad" databaseField="0"/>
  </cacheFields>
  <extLst>
    <ext xmlns:x14="http://schemas.microsoft.com/office/spreadsheetml/2009/9/main" uri="{725AE2AE-9491-48be-B2B4-4EB974FC3084}">
      <x14:pivotCacheDefinition pivotCacheId="1571232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300"/>
    <n v="1501130"/>
    <x v="0"/>
    <x v="0"/>
    <x v="0"/>
    <x v="0"/>
    <n v="50"/>
    <n v="3.5"/>
    <n v="175"/>
  </r>
  <r>
    <n v="421"/>
    <n v="1501470"/>
    <x v="1"/>
    <x v="0"/>
    <x v="1"/>
    <x v="1"/>
    <n v="20"/>
    <n v="8"/>
    <n v="160"/>
  </r>
  <r>
    <n v="646"/>
    <n v="1502040"/>
    <x v="0"/>
    <x v="0"/>
    <x v="2"/>
    <x v="2"/>
    <n v="20"/>
    <n v="7"/>
    <n v="140"/>
  </r>
  <r>
    <n v="1169"/>
    <n v="1503420"/>
    <x v="1"/>
    <x v="1"/>
    <x v="3"/>
    <x v="3"/>
    <n v="20"/>
    <n v="8"/>
    <n v="160"/>
  </r>
  <r>
    <n v="779"/>
    <n v="1502360"/>
    <x v="1"/>
    <x v="1"/>
    <x v="4"/>
    <x v="4"/>
    <n v="20"/>
    <n v="7.5"/>
    <n v="150"/>
  </r>
  <r>
    <n v="2357"/>
    <n v="1506790"/>
    <x v="0"/>
    <x v="2"/>
    <x v="5"/>
    <x v="5"/>
    <n v="30"/>
    <n v="6.5"/>
    <n v="195"/>
  </r>
  <r>
    <n v="4091"/>
    <n v="1511630"/>
    <x v="1"/>
    <x v="3"/>
    <x v="6"/>
    <x v="5"/>
    <n v="30"/>
    <n v="6.5"/>
    <n v="195"/>
  </r>
  <r>
    <n v="4922"/>
    <n v="1513880"/>
    <x v="1"/>
    <x v="4"/>
    <x v="7"/>
    <x v="6"/>
    <n v="10"/>
    <n v="16"/>
    <n v="160"/>
  </r>
  <r>
    <n v="5991"/>
    <n v="1516920"/>
    <x v="0"/>
    <x v="5"/>
    <x v="8"/>
    <x v="7"/>
    <n v="10"/>
    <n v="24"/>
    <n v="240"/>
  </r>
  <r>
    <n v="6399"/>
    <n v="1518100"/>
    <x v="1"/>
    <x v="6"/>
    <x v="9"/>
    <x v="8"/>
    <n v="200"/>
    <n v="1.1000000000000001"/>
    <n v="220.00000000000003"/>
  </r>
  <r>
    <n v="8016"/>
    <n v="1522570"/>
    <x v="1"/>
    <x v="7"/>
    <x v="2"/>
    <x v="9"/>
    <n v="20"/>
    <n v="12"/>
    <n v="240"/>
  </r>
  <r>
    <n v="7625"/>
    <n v="1521480"/>
    <x v="0"/>
    <x v="7"/>
    <x v="10"/>
    <x v="1"/>
    <n v="20"/>
    <n v="8"/>
    <n v="160"/>
  </r>
  <r>
    <n v="8286"/>
    <n v="1523320"/>
    <x v="1"/>
    <x v="8"/>
    <x v="11"/>
    <x v="3"/>
    <n v="20"/>
    <n v="8"/>
    <n v="160"/>
  </r>
  <r>
    <n v="8393"/>
    <n v="1523640"/>
    <x v="0"/>
    <x v="8"/>
    <x v="12"/>
    <x v="10"/>
    <n v="30"/>
    <n v="4.5"/>
    <n v="135"/>
  </r>
  <r>
    <n v="9795"/>
    <n v="1527670"/>
    <x v="0"/>
    <x v="9"/>
    <x v="3"/>
    <x v="6"/>
    <n v="10"/>
    <n v="16"/>
    <n v="160"/>
  </r>
  <r>
    <n v="10112"/>
    <n v="1528510"/>
    <x v="1"/>
    <x v="10"/>
    <x v="13"/>
    <x v="11"/>
    <n v="40"/>
    <n v="12"/>
    <n v="480"/>
  </r>
  <r>
    <n v="10963"/>
    <n v="1530700"/>
    <x v="0"/>
    <x v="11"/>
    <x v="14"/>
    <x v="12"/>
    <n v="20"/>
    <n v="12"/>
    <n v="240"/>
  </r>
  <r>
    <n v="11015"/>
    <n v="1530830"/>
    <x v="0"/>
    <x v="11"/>
    <x v="15"/>
    <x v="1"/>
    <n v="20"/>
    <n v="8"/>
    <n v="160"/>
  </r>
  <r>
    <n v="14492"/>
    <n v="1540290"/>
    <x v="1"/>
    <x v="12"/>
    <x v="16"/>
    <x v="4"/>
    <n v="30"/>
    <n v="7.5"/>
    <n v="225"/>
  </r>
  <r>
    <n v="14337"/>
    <n v="1539910"/>
    <x v="0"/>
    <x v="12"/>
    <x v="17"/>
    <x v="4"/>
    <n v="20"/>
    <n v="7.5"/>
    <n v="150"/>
  </r>
  <r>
    <n v="16995"/>
    <n v="1547250"/>
    <x v="0"/>
    <x v="13"/>
    <x v="18"/>
    <x v="2"/>
    <n v="30"/>
    <n v="7"/>
    <n v="210"/>
  </r>
  <r>
    <n v="16970"/>
    <n v="1547170"/>
    <x v="0"/>
    <x v="13"/>
    <x v="19"/>
    <x v="13"/>
    <n v="70"/>
    <n v="2"/>
    <n v="140"/>
  </r>
  <r>
    <n v="18302"/>
    <n v="1550790"/>
    <x v="0"/>
    <x v="14"/>
    <x v="20"/>
    <x v="10"/>
    <n v="30"/>
    <n v="4.5"/>
    <n v="135"/>
  </r>
  <r>
    <n v="19523"/>
    <n v="1554150"/>
    <x v="0"/>
    <x v="15"/>
    <x v="21"/>
    <x v="4"/>
    <n v="20"/>
    <n v="7.5"/>
    <n v="150"/>
  </r>
  <r>
    <n v="20145"/>
    <n v="1555800"/>
    <x v="1"/>
    <x v="16"/>
    <x v="22"/>
    <x v="2"/>
    <n v="20"/>
    <n v="7"/>
    <n v="140"/>
  </r>
  <r>
    <n v="20332"/>
    <n v="1556280"/>
    <x v="1"/>
    <x v="16"/>
    <x v="23"/>
    <x v="2"/>
    <n v="20"/>
    <n v="7"/>
    <n v="140"/>
  </r>
  <r>
    <n v="21684"/>
    <n v="1559800"/>
    <x v="1"/>
    <x v="17"/>
    <x v="24"/>
    <x v="5"/>
    <n v="30"/>
    <n v="6.5"/>
    <n v="195"/>
  </r>
  <r>
    <n v="21985"/>
    <n v="1560630"/>
    <x v="0"/>
    <x v="18"/>
    <x v="25"/>
    <x v="4"/>
    <n v="20"/>
    <n v="7.5"/>
    <n v="150"/>
  </r>
  <r>
    <n v="23899"/>
    <n v="1565980"/>
    <x v="1"/>
    <x v="19"/>
    <x v="26"/>
    <x v="4"/>
    <n v="20"/>
    <n v="7.5"/>
    <n v="150"/>
  </r>
  <r>
    <n v="24628"/>
    <n v="1567840"/>
    <x v="0"/>
    <x v="20"/>
    <x v="27"/>
    <x v="13"/>
    <n v="70"/>
    <n v="2"/>
    <n v="140"/>
  </r>
  <r>
    <n v="26915"/>
    <n v="1574010"/>
    <x v="1"/>
    <x v="21"/>
    <x v="28"/>
    <x v="14"/>
    <n v="10"/>
    <n v="18"/>
    <n v="180"/>
  </r>
  <r>
    <n v="26942"/>
    <n v="1574070"/>
    <x v="0"/>
    <x v="21"/>
    <x v="29"/>
    <x v="10"/>
    <n v="30"/>
    <n v="4.5"/>
    <n v="135"/>
  </r>
  <r>
    <n v="27875"/>
    <n v="1576590"/>
    <x v="0"/>
    <x v="22"/>
    <x v="30"/>
    <x v="4"/>
    <n v="20"/>
    <n v="7.5"/>
    <n v="150"/>
  </r>
  <r>
    <n v="28177"/>
    <n v="1577390"/>
    <x v="1"/>
    <x v="23"/>
    <x v="31"/>
    <x v="4"/>
    <n v="40"/>
    <n v="7.5"/>
    <n v="300"/>
  </r>
  <r>
    <n v="29084"/>
    <n v="1579750"/>
    <x v="1"/>
    <x v="24"/>
    <x v="32"/>
    <x v="15"/>
    <n v="10"/>
    <n v="44"/>
    <n v="440"/>
  </r>
  <r>
    <n v="31316"/>
    <n v="1585480"/>
    <x v="0"/>
    <x v="25"/>
    <x v="33"/>
    <x v="5"/>
    <n v="30"/>
    <n v="6.5"/>
    <n v="195"/>
  </r>
  <r>
    <n v="31474"/>
    <n v="1585940"/>
    <x v="1"/>
    <x v="25"/>
    <x v="34"/>
    <x v="5"/>
    <n v="30"/>
    <n v="6.5"/>
    <n v="195"/>
  </r>
  <r>
    <n v="30238"/>
    <n v="1582720"/>
    <x v="1"/>
    <x v="25"/>
    <x v="35"/>
    <x v="16"/>
    <n v="20"/>
    <n v="9"/>
    <n v="180"/>
  </r>
  <r>
    <n v="30601"/>
    <n v="1583630"/>
    <x v="1"/>
    <x v="25"/>
    <x v="36"/>
    <x v="16"/>
    <n v="20"/>
    <n v="9"/>
    <n v="180"/>
  </r>
  <r>
    <n v="30760"/>
    <n v="1584020"/>
    <x v="0"/>
    <x v="25"/>
    <x v="37"/>
    <x v="2"/>
    <n v="20"/>
    <n v="7"/>
    <n v="140"/>
  </r>
  <r>
    <n v="33823"/>
    <n v="1592460"/>
    <x v="0"/>
    <x v="26"/>
    <x v="38"/>
    <x v="10"/>
    <n v="30"/>
    <n v="4.5"/>
    <n v="135"/>
  </r>
  <r>
    <n v="34822"/>
    <n v="1595030"/>
    <x v="0"/>
    <x v="27"/>
    <x v="39"/>
    <x v="5"/>
    <n v="40"/>
    <n v="6.5"/>
    <n v="260"/>
  </r>
  <r>
    <n v="34837"/>
    <n v="1595070"/>
    <x v="0"/>
    <x v="27"/>
    <x v="7"/>
    <x v="10"/>
    <n v="30"/>
    <n v="4.5"/>
    <n v="135"/>
  </r>
  <r>
    <n v="35494"/>
    <n v="1596830"/>
    <x v="1"/>
    <x v="28"/>
    <x v="40"/>
    <x v="4"/>
    <n v="30"/>
    <n v="7.5"/>
    <n v="225"/>
  </r>
  <r>
    <n v="35852"/>
    <n v="1597810"/>
    <x v="1"/>
    <x v="28"/>
    <x v="41"/>
    <x v="17"/>
    <n v="120"/>
    <n v="1.2"/>
    <n v="144"/>
  </r>
  <r>
    <n v="37493"/>
    <n v="1602080"/>
    <x v="1"/>
    <x v="29"/>
    <x v="42"/>
    <x v="10"/>
    <n v="30"/>
    <n v="4.5"/>
    <n v="135"/>
  </r>
  <r>
    <n v="39236"/>
    <n v="1606910"/>
    <x v="0"/>
    <x v="30"/>
    <x v="43"/>
    <x v="15"/>
    <n v="10"/>
    <n v="22"/>
    <n v="220"/>
  </r>
  <r>
    <n v="39859"/>
    <n v="1608560"/>
    <x v="1"/>
    <x v="31"/>
    <x v="44"/>
    <x v="4"/>
    <n v="20"/>
    <n v="7.5"/>
    <n v="150"/>
  </r>
  <r>
    <n v="40153"/>
    <n v="1609330"/>
    <x v="1"/>
    <x v="31"/>
    <x v="0"/>
    <x v="4"/>
    <n v="20"/>
    <n v="7.5"/>
    <n v="150"/>
  </r>
  <r>
    <n v="41040"/>
    <n v="1611590"/>
    <x v="0"/>
    <x v="32"/>
    <x v="45"/>
    <x v="16"/>
    <n v="20"/>
    <n v="9"/>
    <n v="180"/>
  </r>
  <r>
    <n v="44468"/>
    <n v="1621060"/>
    <x v="1"/>
    <x v="33"/>
    <x v="35"/>
    <x v="10"/>
    <n v="40"/>
    <n v="4.5"/>
    <n v="180"/>
  </r>
  <r>
    <n v="45021"/>
    <n v="1622550"/>
    <x v="0"/>
    <x v="33"/>
    <x v="46"/>
    <x v="14"/>
    <n v="10"/>
    <n v="18"/>
    <n v="180"/>
  </r>
  <r>
    <n v="45401"/>
    <n v="1623560"/>
    <x v="0"/>
    <x v="34"/>
    <x v="47"/>
    <x v="7"/>
    <n v="10"/>
    <n v="14"/>
    <n v="140"/>
  </r>
  <r>
    <n v="47888"/>
    <n v="1630380"/>
    <x v="1"/>
    <x v="35"/>
    <x v="48"/>
    <x v="5"/>
    <n v="70"/>
    <n v="6.5"/>
    <n v="455"/>
  </r>
  <r>
    <n v="48062"/>
    <n v="1630850"/>
    <x v="1"/>
    <x v="36"/>
    <x v="49"/>
    <x v="18"/>
    <n v="80"/>
    <n v="2.1"/>
    <n v="168"/>
  </r>
  <r>
    <n v="49245"/>
    <n v="1634100"/>
    <x v="1"/>
    <x v="37"/>
    <x v="50"/>
    <x v="16"/>
    <n v="20"/>
    <n v="9"/>
    <n v="180"/>
  </r>
  <r>
    <n v="50155"/>
    <n v="1636470"/>
    <x v="0"/>
    <x v="38"/>
    <x v="51"/>
    <x v="19"/>
    <n v="20"/>
    <n v="12"/>
    <n v="240"/>
  </r>
  <r>
    <n v="49617"/>
    <n v="1635070"/>
    <x v="0"/>
    <x v="38"/>
    <x v="52"/>
    <x v="20"/>
    <n v="10"/>
    <n v="18"/>
    <n v="180"/>
  </r>
  <r>
    <n v="49510"/>
    <n v="1634820"/>
    <x v="0"/>
    <x v="38"/>
    <x v="53"/>
    <x v="4"/>
    <n v="20"/>
    <n v="7.5"/>
    <n v="150"/>
  </r>
  <r>
    <n v="50564"/>
    <n v="1637610"/>
    <x v="1"/>
    <x v="39"/>
    <x v="54"/>
    <x v="21"/>
    <n v="200"/>
    <n v="0.9"/>
    <n v="180"/>
  </r>
  <r>
    <n v="55521"/>
    <n v="1651040"/>
    <x v="0"/>
    <x v="40"/>
    <x v="55"/>
    <x v="14"/>
    <n v="40"/>
    <n v="18"/>
    <n v="720"/>
  </r>
  <r>
    <n v="54722"/>
    <n v="1648980"/>
    <x v="1"/>
    <x v="40"/>
    <x v="56"/>
    <x v="22"/>
    <n v="20"/>
    <n v="12"/>
    <n v="240"/>
  </r>
  <r>
    <n v="54821"/>
    <n v="1649230"/>
    <x v="0"/>
    <x v="40"/>
    <x v="57"/>
    <x v="23"/>
    <n v="80"/>
    <n v="3"/>
    <n v="240"/>
  </r>
  <r>
    <n v="54333"/>
    <n v="1648030"/>
    <x v="1"/>
    <x v="40"/>
    <x v="58"/>
    <x v="20"/>
    <n v="10"/>
    <n v="18"/>
    <n v="180"/>
  </r>
  <r>
    <n v="54423"/>
    <n v="1648230"/>
    <x v="0"/>
    <x v="40"/>
    <x v="59"/>
    <x v="20"/>
    <n v="10"/>
    <n v="18"/>
    <n v="180"/>
  </r>
  <r>
    <n v="56031"/>
    <n v="1652340"/>
    <x v="1"/>
    <x v="41"/>
    <x v="60"/>
    <x v="5"/>
    <n v="30"/>
    <n v="6.5"/>
    <n v="195"/>
  </r>
  <r>
    <n v="57025"/>
    <n v="1655110"/>
    <x v="0"/>
    <x v="42"/>
    <x v="21"/>
    <x v="5"/>
    <n v="40"/>
    <n v="6.5"/>
    <n v="260"/>
  </r>
  <r>
    <n v="57120"/>
    <n v="1655380"/>
    <x v="0"/>
    <x v="42"/>
    <x v="61"/>
    <x v="5"/>
    <n v="30"/>
    <n v="6.5"/>
    <n v="195"/>
  </r>
  <r>
    <n v="64872"/>
    <n v="1676690"/>
    <x v="0"/>
    <x v="43"/>
    <x v="62"/>
    <x v="5"/>
    <n v="40"/>
    <n v="6.5"/>
    <n v="260"/>
  </r>
  <r>
    <n v="64370"/>
    <n v="1675370"/>
    <x v="1"/>
    <x v="43"/>
    <x v="63"/>
    <x v="15"/>
    <n v="10"/>
    <n v="22"/>
    <n v="220"/>
  </r>
  <r>
    <n v="66625"/>
    <n v="1681310"/>
    <x v="0"/>
    <x v="44"/>
    <x v="64"/>
    <x v="19"/>
    <n v="20"/>
    <n v="12"/>
    <n v="240"/>
  </r>
  <r>
    <n v="66540"/>
    <n v="1681070"/>
    <x v="0"/>
    <x v="44"/>
    <x v="52"/>
    <x v="5"/>
    <n v="30"/>
    <n v="6.5"/>
    <n v="195"/>
  </r>
  <r>
    <n v="67831"/>
    <n v="1684750"/>
    <x v="1"/>
    <x v="45"/>
    <x v="65"/>
    <x v="5"/>
    <n v="30"/>
    <n v="6.5"/>
    <n v="195"/>
  </r>
  <r>
    <n v="68586"/>
    <n v="1686890"/>
    <x v="0"/>
    <x v="46"/>
    <x v="66"/>
    <x v="5"/>
    <n v="30"/>
    <n v="6.5"/>
    <n v="195"/>
  </r>
  <r>
    <n v="68930"/>
    <n v="1687830"/>
    <x v="0"/>
    <x v="47"/>
    <x v="67"/>
    <x v="13"/>
    <n v="100"/>
    <n v="2"/>
    <n v="200"/>
  </r>
  <r>
    <n v="70791"/>
    <n v="1692920"/>
    <x v="1"/>
    <x v="48"/>
    <x v="68"/>
    <x v="15"/>
    <n v="10"/>
    <n v="22"/>
    <n v="220"/>
  </r>
  <r>
    <n v="71815"/>
    <n v="1695600"/>
    <x v="0"/>
    <x v="49"/>
    <x v="69"/>
    <x v="5"/>
    <n v="60"/>
    <n v="6.5"/>
    <n v="390"/>
  </r>
  <r>
    <n v="72904"/>
    <n v="1698580"/>
    <x v="1"/>
    <x v="50"/>
    <x v="62"/>
    <x v="5"/>
    <n v="30"/>
    <n v="6.5"/>
    <n v="195"/>
  </r>
  <r>
    <n v="75494"/>
    <n v="1706000"/>
    <x v="0"/>
    <x v="51"/>
    <x v="14"/>
    <x v="5"/>
    <n v="30"/>
    <n v="6.5"/>
    <n v="195"/>
  </r>
  <r>
    <n v="75662"/>
    <n v="1706470"/>
    <x v="0"/>
    <x v="51"/>
    <x v="70"/>
    <x v="5"/>
    <n v="30"/>
    <n v="6.5"/>
    <n v="195"/>
  </r>
  <r>
    <n v="83724"/>
    <n v="1728100"/>
    <x v="0"/>
    <x v="52"/>
    <x v="71"/>
    <x v="5"/>
    <n v="40"/>
    <n v="6.5"/>
    <n v="260"/>
  </r>
  <r>
    <n v="87739"/>
    <n v="1738890"/>
    <x v="1"/>
    <x v="53"/>
    <x v="72"/>
    <x v="4"/>
    <n v="30"/>
    <n v="7.5"/>
    <n v="225"/>
  </r>
  <r>
    <n v="89390"/>
    <n v="1743120"/>
    <x v="0"/>
    <x v="54"/>
    <x v="73"/>
    <x v="19"/>
    <n v="30"/>
    <n v="12"/>
    <n v="360"/>
  </r>
  <r>
    <n v="90101"/>
    <n v="1744940"/>
    <x v="1"/>
    <x v="54"/>
    <x v="74"/>
    <x v="5"/>
    <n v="40"/>
    <n v="6.5"/>
    <n v="260"/>
  </r>
  <r>
    <n v="91363"/>
    <n v="1748070"/>
    <x v="1"/>
    <x v="55"/>
    <x v="75"/>
    <x v="5"/>
    <n v="50"/>
    <n v="6.5"/>
    <n v="325"/>
  </r>
  <r>
    <n v="92089"/>
    <n v="1749920"/>
    <x v="1"/>
    <x v="55"/>
    <x v="76"/>
    <x v="5"/>
    <n v="40"/>
    <n v="6.5"/>
    <n v="260"/>
  </r>
  <r>
    <n v="91334"/>
    <n v="1747990"/>
    <x v="1"/>
    <x v="55"/>
    <x v="77"/>
    <x v="12"/>
    <n v="20"/>
    <n v="12"/>
    <n v="240"/>
  </r>
  <r>
    <n v="90840"/>
    <n v="1746900"/>
    <x v="0"/>
    <x v="55"/>
    <x v="78"/>
    <x v="15"/>
    <n v="20"/>
    <n v="11"/>
    <n v="220"/>
  </r>
  <r>
    <n v="93402"/>
    <n v="1753350"/>
    <x v="0"/>
    <x v="56"/>
    <x v="79"/>
    <x v="12"/>
    <n v="20"/>
    <n v="12"/>
    <n v="240"/>
  </r>
  <r>
    <n v="93668"/>
    <n v="1754080"/>
    <x v="1"/>
    <x v="56"/>
    <x v="80"/>
    <x v="15"/>
    <n v="10"/>
    <n v="22"/>
    <n v="220"/>
  </r>
  <r>
    <n v="94885"/>
    <n v="1757170"/>
    <x v="0"/>
    <x v="57"/>
    <x v="11"/>
    <x v="5"/>
    <n v="40"/>
    <n v="6.5"/>
    <n v="260"/>
  </r>
  <r>
    <n v="94070"/>
    <n v="1755060"/>
    <x v="1"/>
    <x v="57"/>
    <x v="81"/>
    <x v="4"/>
    <n v="30"/>
    <n v="7.5"/>
    <n v="225"/>
  </r>
  <r>
    <n v="95515"/>
    <n v="1758730"/>
    <x v="0"/>
    <x v="58"/>
    <x v="75"/>
    <x v="19"/>
    <n v="20"/>
    <n v="12"/>
    <n v="240"/>
  </r>
  <r>
    <n v="95297"/>
    <n v="1758210"/>
    <x v="1"/>
    <x v="58"/>
    <x v="82"/>
    <x v="4"/>
    <n v="30"/>
    <n v="7.5"/>
    <n v="225"/>
  </r>
  <r>
    <n v="97569"/>
    <n v="1764370"/>
    <x v="1"/>
    <x v="59"/>
    <x v="62"/>
    <x v="5"/>
    <n v="40"/>
    <n v="6.5"/>
    <n v="260"/>
  </r>
  <r>
    <n v="98196"/>
    <n v="1766150"/>
    <x v="0"/>
    <x v="60"/>
    <x v="83"/>
    <x v="5"/>
    <n v="40"/>
    <n v="6.5"/>
    <n v="260"/>
  </r>
  <r>
    <n v="98821"/>
    <n v="1767850"/>
    <x v="1"/>
    <x v="61"/>
    <x v="84"/>
    <x v="5"/>
    <n v="40"/>
    <n v="6.5"/>
    <n v="260"/>
  </r>
  <r>
    <n v="100616"/>
    <n v="1772540"/>
    <x v="1"/>
    <x v="62"/>
    <x v="85"/>
    <x v="19"/>
    <n v="20"/>
    <n v="12"/>
    <n v="240"/>
  </r>
  <r>
    <n v="101622"/>
    <n v="1775310"/>
    <x v="0"/>
    <x v="63"/>
    <x v="3"/>
    <x v="5"/>
    <n v="40"/>
    <n v="6.5"/>
    <n v="260"/>
  </r>
  <r>
    <n v="101536"/>
    <n v="1775050"/>
    <x v="1"/>
    <x v="63"/>
    <x v="86"/>
    <x v="19"/>
    <n v="20"/>
    <n v="12"/>
    <n v="240"/>
  </r>
  <r>
    <n v="102402"/>
    <n v="1777510"/>
    <x v="0"/>
    <x v="64"/>
    <x v="62"/>
    <x v="5"/>
    <n v="40"/>
    <n v="6.5"/>
    <n v="260"/>
  </r>
  <r>
    <n v="102965"/>
    <n v="1779120"/>
    <x v="1"/>
    <x v="65"/>
    <x v="87"/>
    <x v="5"/>
    <n v="40"/>
    <n v="6.5"/>
    <n v="260"/>
  </r>
  <r>
    <n v="103654"/>
    <n v="1781040"/>
    <x v="0"/>
    <x v="66"/>
    <x v="88"/>
    <x v="5"/>
    <n v="40"/>
    <n v="6.5"/>
    <n v="260"/>
  </r>
  <r>
    <n v="104364"/>
    <n v="1783020"/>
    <x v="0"/>
    <x v="67"/>
    <x v="89"/>
    <x v="5"/>
    <n v="40"/>
    <n v="6.5"/>
    <n v="260"/>
  </r>
  <r>
    <n v="107025"/>
    <n v="1790110"/>
    <x v="0"/>
    <x v="68"/>
    <x v="15"/>
    <x v="5"/>
    <n v="40"/>
    <n v="6.5"/>
    <n v="260"/>
  </r>
  <r>
    <n v="107925"/>
    <n v="1792590"/>
    <x v="0"/>
    <x v="69"/>
    <x v="6"/>
    <x v="5"/>
    <n v="40"/>
    <n v="6.5"/>
    <n v="260"/>
  </r>
  <r>
    <n v="108523"/>
    <n v="1794180"/>
    <x v="1"/>
    <x v="70"/>
    <x v="89"/>
    <x v="5"/>
    <n v="40"/>
    <n v="6.5"/>
    <n v="260"/>
  </r>
  <r>
    <n v="109121"/>
    <n v="1795870"/>
    <x v="1"/>
    <x v="71"/>
    <x v="90"/>
    <x v="5"/>
    <n v="40"/>
    <n v="6.5"/>
    <n v="260"/>
  </r>
  <r>
    <n v="109627"/>
    <n v="1797320"/>
    <x v="1"/>
    <x v="72"/>
    <x v="91"/>
    <x v="19"/>
    <n v="40"/>
    <n v="12"/>
    <n v="480"/>
  </r>
  <r>
    <n v="110375"/>
    <n v="1799310"/>
    <x v="0"/>
    <x v="73"/>
    <x v="92"/>
    <x v="24"/>
    <n v="2000"/>
    <n v="1"/>
    <n v="2000"/>
  </r>
  <r>
    <n v="112773"/>
    <n v="1805750"/>
    <x v="0"/>
    <x v="74"/>
    <x v="62"/>
    <x v="5"/>
    <n v="40"/>
    <n v="6.5"/>
    <n v="260"/>
  </r>
  <r>
    <n v="113516"/>
    <n v="1807840"/>
    <x v="1"/>
    <x v="75"/>
    <x v="93"/>
    <x v="5"/>
    <n v="50"/>
    <n v="6.5"/>
    <n v="325"/>
  </r>
  <r>
    <n v="113454"/>
    <n v="1807670"/>
    <x v="0"/>
    <x v="75"/>
    <x v="94"/>
    <x v="10"/>
    <n v="60"/>
    <n v="4.5"/>
    <n v="270"/>
  </r>
  <r>
    <n v="113486"/>
    <n v="1807750"/>
    <x v="1"/>
    <x v="75"/>
    <x v="1"/>
    <x v="5"/>
    <n v="40"/>
    <n v="6.5"/>
    <n v="260"/>
  </r>
  <r>
    <n v="118298"/>
    <n v="1820860"/>
    <x v="0"/>
    <x v="76"/>
    <x v="95"/>
    <x v="5"/>
    <n v="50"/>
    <n v="6.5"/>
    <n v="325"/>
  </r>
  <r>
    <n v="118970"/>
    <n v="1822770"/>
    <x v="1"/>
    <x v="77"/>
    <x v="96"/>
    <x v="5"/>
    <n v="50"/>
    <n v="6.5"/>
    <n v="325"/>
  </r>
  <r>
    <n v="119786"/>
    <n v="1825100"/>
    <x v="0"/>
    <x v="78"/>
    <x v="26"/>
    <x v="5"/>
    <n v="50"/>
    <n v="6.5"/>
    <n v="325"/>
  </r>
  <r>
    <n v="119822"/>
    <n v="1825210"/>
    <x v="1"/>
    <x v="78"/>
    <x v="93"/>
    <x v="5"/>
    <n v="50"/>
    <n v="6.5"/>
    <n v="325"/>
  </r>
  <r>
    <n v="120475"/>
    <n v="1827000"/>
    <x v="0"/>
    <x v="79"/>
    <x v="96"/>
    <x v="5"/>
    <n v="50"/>
    <n v="6.5"/>
    <n v="325"/>
  </r>
  <r>
    <n v="124938"/>
    <n v="1839110"/>
    <x v="0"/>
    <x v="80"/>
    <x v="97"/>
    <x v="10"/>
    <n v="60"/>
    <n v="4.5"/>
    <n v="270"/>
  </r>
  <r>
    <n v="127824"/>
    <n v="1847120"/>
    <x v="0"/>
    <x v="81"/>
    <x v="98"/>
    <x v="25"/>
    <n v="150"/>
    <n v="1.8"/>
    <n v="270"/>
  </r>
  <r>
    <n v="135766"/>
    <n v="1868240"/>
    <x v="1"/>
    <x v="82"/>
    <x v="77"/>
    <x v="22"/>
    <n v="20"/>
    <n v="12"/>
    <n v="240"/>
  </r>
  <r>
    <n v="136344"/>
    <n v="1869650"/>
    <x v="0"/>
    <x v="82"/>
    <x v="99"/>
    <x v="19"/>
    <n v="20"/>
    <n v="12"/>
    <n v="240"/>
  </r>
  <r>
    <n v="138743"/>
    <n v="1876060"/>
    <x v="1"/>
    <x v="83"/>
    <x v="100"/>
    <x v="26"/>
    <n v="40"/>
    <n v="7"/>
    <n v="280"/>
  </r>
  <r>
    <n v="140029"/>
    <n v="1879520"/>
    <x v="1"/>
    <x v="84"/>
    <x v="101"/>
    <x v="17"/>
    <n v="200"/>
    <n v="1.2"/>
    <n v="240"/>
  </r>
  <r>
    <n v="141765"/>
    <n v="1884030"/>
    <x v="1"/>
    <x v="85"/>
    <x v="76"/>
    <x v="5"/>
    <n v="60"/>
    <n v="6.5"/>
    <n v="390"/>
  </r>
  <r>
    <n v="141440"/>
    <n v="1883160"/>
    <x v="0"/>
    <x v="85"/>
    <x v="102"/>
    <x v="5"/>
    <n v="40"/>
    <n v="6.5"/>
    <n v="260"/>
  </r>
  <r>
    <n v="141478"/>
    <n v="1883250"/>
    <x v="0"/>
    <x v="85"/>
    <x v="103"/>
    <x v="5"/>
    <n v="40"/>
    <n v="6.5"/>
    <n v="260"/>
  </r>
  <r>
    <n v="142801"/>
    <n v="1886900"/>
    <x v="1"/>
    <x v="86"/>
    <x v="54"/>
    <x v="5"/>
    <n v="40"/>
    <n v="6.5"/>
    <n v="260"/>
  </r>
  <r>
    <n v="147505"/>
    <n v="1899380"/>
    <x v="1"/>
    <x v="87"/>
    <x v="87"/>
    <x v="5"/>
    <n v="40"/>
    <n v="6.5"/>
    <n v="260"/>
  </r>
  <r>
    <n v="149496"/>
    <n v="1904760"/>
    <x v="0"/>
    <x v="88"/>
    <x v="104"/>
    <x v="5"/>
    <n v="40"/>
    <n v="6.5"/>
    <n v="260"/>
  </r>
  <r>
    <n v="152338"/>
    <n v="1912360"/>
    <x v="1"/>
    <x v="89"/>
    <x v="71"/>
    <x v="27"/>
    <n v="250"/>
    <n v="2"/>
    <n v="500"/>
  </r>
  <r>
    <n v="152736"/>
    <n v="1913440"/>
    <x v="1"/>
    <x v="89"/>
    <x v="105"/>
    <x v="20"/>
    <n v="20"/>
    <n v="18"/>
    <n v="360"/>
  </r>
  <r>
    <n v="152745"/>
    <n v="1913460"/>
    <x v="1"/>
    <x v="89"/>
    <x v="106"/>
    <x v="20"/>
    <n v="20"/>
    <n v="18"/>
    <n v="360"/>
  </r>
  <r>
    <n v="153509"/>
    <n v="1915440"/>
    <x v="0"/>
    <x v="90"/>
    <x v="47"/>
    <x v="28"/>
    <n v="40"/>
    <n v="7"/>
    <n v="280"/>
  </r>
  <r>
    <n v="156661"/>
    <n v="1923790"/>
    <x v="1"/>
    <x v="91"/>
    <x v="11"/>
    <x v="5"/>
    <n v="40"/>
    <n v="6.5"/>
    <n v="260"/>
  </r>
  <r>
    <n v="162233"/>
    <n v="1938980"/>
    <x v="1"/>
    <x v="92"/>
    <x v="107"/>
    <x v="29"/>
    <n v="250"/>
    <n v="1.8"/>
    <n v="450"/>
  </r>
  <r>
    <n v="162234"/>
    <n v="1938980"/>
    <x v="0"/>
    <x v="92"/>
    <x v="107"/>
    <x v="30"/>
    <n v="110"/>
    <n v="2.5"/>
    <n v="275"/>
  </r>
  <r>
    <n v="163377"/>
    <n v="1941990"/>
    <x v="1"/>
    <x v="93"/>
    <x v="108"/>
    <x v="31"/>
    <n v="110"/>
    <n v="11"/>
    <n v="1210"/>
  </r>
  <r>
    <n v="163378"/>
    <n v="1941990"/>
    <x v="0"/>
    <x v="93"/>
    <x v="108"/>
    <x v="4"/>
    <n v="90"/>
    <n v="7.5"/>
    <n v="675"/>
  </r>
  <r>
    <n v="165121"/>
    <n v="1946470"/>
    <x v="1"/>
    <x v="94"/>
    <x v="109"/>
    <x v="22"/>
    <n v="20"/>
    <n v="12"/>
    <n v="240"/>
  </r>
  <r>
    <n v="166265"/>
    <n v="1949490"/>
    <x v="0"/>
    <x v="95"/>
    <x v="110"/>
    <x v="5"/>
    <n v="40"/>
    <n v="6.5"/>
    <n v="260"/>
  </r>
  <r>
    <n v="168007"/>
    <n v="1954120"/>
    <x v="1"/>
    <x v="96"/>
    <x v="111"/>
    <x v="22"/>
    <n v="20"/>
    <n v="12"/>
    <n v="240"/>
  </r>
  <r>
    <n v="170417"/>
    <n v="1960500"/>
    <x v="0"/>
    <x v="97"/>
    <x v="112"/>
    <x v="5"/>
    <n v="40"/>
    <n v="6.5"/>
    <n v="260"/>
  </r>
  <r>
    <n v="173225"/>
    <n v="1967980"/>
    <x v="1"/>
    <x v="98"/>
    <x v="113"/>
    <x v="5"/>
    <n v="50"/>
    <n v="6.5"/>
    <n v="325"/>
  </r>
  <r>
    <n v="174909"/>
    <n v="1972170"/>
    <x v="0"/>
    <x v="99"/>
    <x v="14"/>
    <x v="5"/>
    <n v="80"/>
    <n v="6.5"/>
    <n v="520"/>
  </r>
  <r>
    <n v="179519"/>
    <n v="1984810"/>
    <x v="1"/>
    <x v="100"/>
    <x v="114"/>
    <x v="2"/>
    <n v="80"/>
    <n v="7"/>
    <n v="560"/>
  </r>
  <r>
    <n v="179122"/>
    <n v="1983690"/>
    <x v="1"/>
    <x v="100"/>
    <x v="115"/>
    <x v="0"/>
    <n v="70"/>
    <n v="3.5"/>
    <n v="245"/>
  </r>
  <r>
    <n v="179893"/>
    <n v="1985730"/>
    <x v="1"/>
    <x v="101"/>
    <x v="116"/>
    <x v="10"/>
    <n v="60"/>
    <n v="4.5"/>
    <n v="270"/>
  </r>
  <r>
    <n v="182650"/>
    <n v="1993180"/>
    <x v="0"/>
    <x v="102"/>
    <x v="117"/>
    <x v="31"/>
    <n v="30"/>
    <n v="11"/>
    <n v="330"/>
  </r>
  <r>
    <n v="185186"/>
    <n v="1999610"/>
    <x v="1"/>
    <x v="103"/>
    <x v="69"/>
    <x v="4"/>
    <n v="40"/>
    <n v="7.5"/>
    <n v="300"/>
  </r>
  <r>
    <n v="184801"/>
    <n v="1998720"/>
    <x v="0"/>
    <x v="103"/>
    <x v="118"/>
    <x v="5"/>
    <n v="40"/>
    <n v="6.5"/>
    <n v="260"/>
  </r>
  <r>
    <n v="188764"/>
    <n v="2009310"/>
    <x v="0"/>
    <x v="104"/>
    <x v="119"/>
    <x v="31"/>
    <n v="30"/>
    <n v="11"/>
    <n v="330"/>
  </r>
  <r>
    <n v="194601"/>
    <n v="2024860"/>
    <x v="0"/>
    <x v="105"/>
    <x v="120"/>
    <x v="5"/>
    <n v="50"/>
    <n v="6.5"/>
    <n v="325"/>
  </r>
  <r>
    <n v="194738"/>
    <n v="2025180"/>
    <x v="0"/>
    <x v="106"/>
    <x v="121"/>
    <x v="32"/>
    <n v="250"/>
    <n v="1.2"/>
    <n v="300"/>
  </r>
  <r>
    <n v="194741"/>
    <n v="2025180"/>
    <x v="0"/>
    <x v="106"/>
    <x v="121"/>
    <x v="8"/>
    <n v="250"/>
    <n v="1.1000000000000001"/>
    <n v="275"/>
  </r>
  <r>
    <n v="198210"/>
    <n v="2034410"/>
    <x v="1"/>
    <x v="107"/>
    <x v="74"/>
    <x v="5"/>
    <n v="40"/>
    <n v="6.5"/>
    <n v="260"/>
  </r>
  <r>
    <n v="201154"/>
    <n v="2042370"/>
    <x v="1"/>
    <x v="108"/>
    <x v="122"/>
    <x v="5"/>
    <n v="50"/>
    <n v="6.5"/>
    <n v="325"/>
  </r>
  <r>
    <n v="202267"/>
    <n v="2045370"/>
    <x v="1"/>
    <x v="109"/>
    <x v="123"/>
    <x v="5"/>
    <n v="50"/>
    <n v="6.5"/>
    <n v="325"/>
  </r>
  <r>
    <n v="205080"/>
    <n v="2052720"/>
    <x v="0"/>
    <x v="110"/>
    <x v="124"/>
    <x v="5"/>
    <n v="50"/>
    <n v="6.5"/>
    <n v="325"/>
  </r>
  <r>
    <n v="208442"/>
    <n v="2061990"/>
    <x v="0"/>
    <x v="111"/>
    <x v="76"/>
    <x v="5"/>
    <n v="30"/>
    <n v="6.5"/>
    <n v="195"/>
  </r>
  <r>
    <n v="208606"/>
    <n v="2062470"/>
    <x v="0"/>
    <x v="111"/>
    <x v="125"/>
    <x v="5"/>
    <n v="30"/>
    <n v="6.5"/>
    <n v="195"/>
  </r>
  <r>
    <n v="209646"/>
    <n v="2065380"/>
    <x v="0"/>
    <x v="112"/>
    <x v="126"/>
    <x v="25"/>
    <n v="140"/>
    <n v="1.8"/>
    <n v="252"/>
  </r>
  <r>
    <n v="213709"/>
    <n v="2076290"/>
    <x v="1"/>
    <x v="113"/>
    <x v="127"/>
    <x v="28"/>
    <n v="10"/>
    <n v="24"/>
    <n v="240"/>
  </r>
  <r>
    <n v="213824"/>
    <n v="2076610"/>
    <x v="1"/>
    <x v="113"/>
    <x v="128"/>
    <x v="28"/>
    <n v="10"/>
    <n v="21"/>
    <n v="210"/>
  </r>
  <r>
    <n v="214730"/>
    <n v="2079160"/>
    <x v="1"/>
    <x v="114"/>
    <x v="129"/>
    <x v="5"/>
    <n v="40"/>
    <n v="6.5"/>
    <n v="260"/>
  </r>
  <r>
    <n v="215472"/>
    <n v="2081250"/>
    <x v="0"/>
    <x v="115"/>
    <x v="24"/>
    <x v="28"/>
    <n v="10"/>
    <n v="35"/>
    <n v="350"/>
  </r>
  <r>
    <n v="215471"/>
    <n v="2081250"/>
    <x v="1"/>
    <x v="115"/>
    <x v="24"/>
    <x v="28"/>
    <n v="10"/>
    <n v="22.5"/>
    <n v="225"/>
  </r>
  <r>
    <n v="216747"/>
    <n v="2084600"/>
    <x v="0"/>
    <x v="116"/>
    <x v="130"/>
    <x v="12"/>
    <n v="20"/>
    <n v="12"/>
    <n v="240"/>
  </r>
  <r>
    <n v="218761"/>
    <n v="2090020"/>
    <x v="1"/>
    <x v="117"/>
    <x v="131"/>
    <x v="12"/>
    <n v="40"/>
    <n v="12"/>
    <n v="480"/>
  </r>
  <r>
    <n v="219550"/>
    <n v="2092260"/>
    <x v="1"/>
    <x v="118"/>
    <x v="132"/>
    <x v="5"/>
    <n v="30"/>
    <n v="6.5"/>
    <n v="195"/>
  </r>
  <r>
    <n v="220312"/>
    <n v="2094430"/>
    <x v="1"/>
    <x v="119"/>
    <x v="133"/>
    <x v="10"/>
    <n v="50"/>
    <n v="4.5"/>
    <n v="225"/>
  </r>
  <r>
    <n v="220338"/>
    <n v="2094510"/>
    <x v="0"/>
    <x v="119"/>
    <x v="134"/>
    <x v="5"/>
    <n v="30"/>
    <n v="6.5"/>
    <n v="195"/>
  </r>
  <r>
    <n v="220970"/>
    <n v="2096310"/>
    <x v="1"/>
    <x v="120"/>
    <x v="18"/>
    <x v="5"/>
    <n v="30"/>
    <n v="6.5"/>
    <n v="195"/>
  </r>
  <r>
    <n v="221759"/>
    <n v="2098500"/>
    <x v="0"/>
    <x v="121"/>
    <x v="135"/>
    <x v="17"/>
    <n v="200"/>
    <n v="1.2"/>
    <n v="240"/>
  </r>
  <r>
    <n v="224108"/>
    <n v="2104920"/>
    <x v="0"/>
    <x v="122"/>
    <x v="14"/>
    <x v="28"/>
    <n v="40"/>
    <n v="7"/>
    <n v="280"/>
  </r>
  <r>
    <n v="225341"/>
    <n v="2108400"/>
    <x v="0"/>
    <x v="123"/>
    <x v="136"/>
    <x v="28"/>
    <n v="30"/>
    <n v="7"/>
    <n v="210"/>
  </r>
  <r>
    <n v="226656"/>
    <n v="2112020"/>
    <x v="0"/>
    <x v="124"/>
    <x v="137"/>
    <x v="25"/>
    <n v="150"/>
    <n v="1.8"/>
    <n v="270"/>
  </r>
  <r>
    <n v="225996"/>
    <n v="2110200"/>
    <x v="0"/>
    <x v="124"/>
    <x v="138"/>
    <x v="8"/>
    <n v="200"/>
    <n v="1.1000000000000001"/>
    <n v="220.00000000000003"/>
  </r>
  <r>
    <n v="228046"/>
    <n v="2115760"/>
    <x v="1"/>
    <x v="125"/>
    <x v="135"/>
    <x v="31"/>
    <n v="20"/>
    <n v="11"/>
    <n v="220"/>
  </r>
  <r>
    <n v="230306"/>
    <n v="2122180"/>
    <x v="1"/>
    <x v="126"/>
    <x v="139"/>
    <x v="28"/>
    <n v="10"/>
    <n v="21"/>
    <n v="210"/>
  </r>
  <r>
    <n v="232951"/>
    <n v="2129470"/>
    <x v="0"/>
    <x v="127"/>
    <x v="140"/>
    <x v="10"/>
    <n v="40"/>
    <n v="4.5"/>
    <n v="180"/>
  </r>
  <r>
    <n v="235215"/>
    <n v="2135530"/>
    <x v="0"/>
    <x v="128"/>
    <x v="85"/>
    <x v="10"/>
    <n v="140"/>
    <n v="4.5"/>
    <n v="630"/>
  </r>
  <r>
    <n v="235607"/>
    <n v="2136650"/>
    <x v="0"/>
    <x v="128"/>
    <x v="141"/>
    <x v="5"/>
    <n v="40"/>
    <n v="6.5"/>
    <n v="260"/>
  </r>
  <r>
    <n v="238895"/>
    <n v="2145750"/>
    <x v="0"/>
    <x v="129"/>
    <x v="142"/>
    <x v="28"/>
    <n v="10"/>
    <n v="28"/>
    <n v="280"/>
  </r>
  <r>
    <n v="238852"/>
    <n v="2145640"/>
    <x v="0"/>
    <x v="129"/>
    <x v="102"/>
    <x v="32"/>
    <n v="180"/>
    <n v="1.2"/>
    <n v="216"/>
  </r>
  <r>
    <n v="239034"/>
    <n v="2146160"/>
    <x v="1"/>
    <x v="129"/>
    <x v="143"/>
    <x v="32"/>
    <n v="180"/>
    <n v="1.2"/>
    <n v="216"/>
  </r>
  <r>
    <n v="238851"/>
    <n v="2145640"/>
    <x v="1"/>
    <x v="129"/>
    <x v="102"/>
    <x v="8"/>
    <n v="170"/>
    <n v="1.1000000000000001"/>
    <n v="187.00000000000003"/>
  </r>
  <r>
    <n v="239033"/>
    <n v="2146160"/>
    <x v="1"/>
    <x v="129"/>
    <x v="143"/>
    <x v="8"/>
    <n v="170"/>
    <n v="1.1000000000000001"/>
    <n v="187.00000000000003"/>
  </r>
  <r>
    <n v="239512"/>
    <n v="2147480"/>
    <x v="1"/>
    <x v="130"/>
    <x v="144"/>
    <x v="33"/>
    <n v="200"/>
    <n v="1.5"/>
    <n v="300"/>
  </r>
  <r>
    <n v="239738"/>
    <n v="2148120"/>
    <x v="1"/>
    <x v="130"/>
    <x v="145"/>
    <x v="10"/>
    <n v="60"/>
    <n v="4.5"/>
    <n v="270"/>
  </r>
  <r>
    <n v="241700"/>
    <n v="2153450"/>
    <x v="0"/>
    <x v="131"/>
    <x v="80"/>
    <x v="17"/>
    <n v="250"/>
    <n v="1.2"/>
    <n v="300"/>
  </r>
  <r>
    <n v="242151"/>
    <n v="2154750"/>
    <x v="0"/>
    <x v="132"/>
    <x v="88"/>
    <x v="28"/>
    <n v="10"/>
    <n v="18"/>
    <n v="180"/>
  </r>
  <r>
    <n v="245104"/>
    <n v="2162690"/>
    <x v="1"/>
    <x v="133"/>
    <x v="86"/>
    <x v="12"/>
    <n v="40"/>
    <n v="12"/>
    <n v="480"/>
  </r>
  <r>
    <n v="244623"/>
    <n v="2161440"/>
    <x v="1"/>
    <x v="133"/>
    <x v="138"/>
    <x v="4"/>
    <n v="30"/>
    <n v="7.5"/>
    <n v="225"/>
  </r>
  <r>
    <n v="245089"/>
    <n v="2162650"/>
    <x v="1"/>
    <x v="133"/>
    <x v="146"/>
    <x v="5"/>
    <n v="30"/>
    <n v="6.5"/>
    <n v="195"/>
  </r>
  <r>
    <n v="245204"/>
    <n v="2162970"/>
    <x v="1"/>
    <x v="133"/>
    <x v="147"/>
    <x v="16"/>
    <n v="20"/>
    <n v="9"/>
    <n v="180"/>
  </r>
  <r>
    <n v="245798"/>
    <n v="2164600"/>
    <x v="0"/>
    <x v="134"/>
    <x v="148"/>
    <x v="28"/>
    <n v="30"/>
    <n v="8"/>
    <n v="240"/>
  </r>
  <r>
    <n v="249184"/>
    <n v="2173960"/>
    <x v="0"/>
    <x v="135"/>
    <x v="95"/>
    <x v="2"/>
    <n v="30"/>
    <n v="7"/>
    <n v="210"/>
  </r>
  <r>
    <n v="250844"/>
    <n v="2178210"/>
    <x v="1"/>
    <x v="136"/>
    <x v="149"/>
    <x v="17"/>
    <n v="550"/>
    <n v="1.2"/>
    <n v="660"/>
  </r>
  <r>
    <n v="251573"/>
    <n v="2180090"/>
    <x v="0"/>
    <x v="137"/>
    <x v="150"/>
    <x v="31"/>
    <n v="30"/>
    <n v="11"/>
    <n v="330"/>
  </r>
  <r>
    <n v="252486"/>
    <n v="2182420"/>
    <x v="1"/>
    <x v="137"/>
    <x v="134"/>
    <x v="22"/>
    <n v="20"/>
    <n v="12"/>
    <n v="240"/>
  </r>
  <r>
    <n v="253348"/>
    <n v="2184730"/>
    <x v="1"/>
    <x v="138"/>
    <x v="151"/>
    <x v="5"/>
    <n v="30"/>
    <n v="6.5"/>
    <n v="195"/>
  </r>
  <r>
    <n v="254729"/>
    <n v="2188520"/>
    <x v="1"/>
    <x v="139"/>
    <x v="152"/>
    <x v="5"/>
    <n v="40"/>
    <n v="6.5"/>
    <n v="260"/>
  </r>
  <r>
    <n v="256168"/>
    <n v="2192460"/>
    <x v="1"/>
    <x v="140"/>
    <x v="153"/>
    <x v="5"/>
    <n v="50"/>
    <n v="6.5"/>
    <n v="325"/>
  </r>
  <r>
    <n v="257472"/>
    <n v="2196000"/>
    <x v="0"/>
    <x v="141"/>
    <x v="9"/>
    <x v="21"/>
    <n v="430"/>
    <n v="0.9"/>
    <n v="387"/>
  </r>
  <r>
    <n v="257470"/>
    <n v="2196000"/>
    <x v="1"/>
    <x v="141"/>
    <x v="9"/>
    <x v="25"/>
    <n v="210"/>
    <n v="1.8"/>
    <n v="378"/>
  </r>
  <r>
    <n v="257615"/>
    <n v="2196410"/>
    <x v="1"/>
    <x v="141"/>
    <x v="97"/>
    <x v="10"/>
    <n v="40"/>
    <n v="4.5"/>
    <n v="180"/>
  </r>
  <r>
    <n v="258056"/>
    <n v="2197650"/>
    <x v="1"/>
    <x v="142"/>
    <x v="154"/>
    <x v="10"/>
    <n v="60"/>
    <n v="4.5"/>
    <n v="270"/>
  </r>
  <r>
    <n v="258031"/>
    <n v="2197600"/>
    <x v="1"/>
    <x v="142"/>
    <x v="155"/>
    <x v="21"/>
    <n v="250"/>
    <n v="0.9"/>
    <n v="225"/>
  </r>
  <r>
    <n v="258423"/>
    <n v="2198690"/>
    <x v="0"/>
    <x v="142"/>
    <x v="156"/>
    <x v="28"/>
    <n v="10"/>
    <n v="21"/>
    <n v="210"/>
  </r>
  <r>
    <n v="259781"/>
    <n v="2202380"/>
    <x v="1"/>
    <x v="143"/>
    <x v="63"/>
    <x v="14"/>
    <n v="20"/>
    <n v="18"/>
    <n v="360"/>
  </r>
  <r>
    <n v="259780"/>
    <n v="2202380"/>
    <x v="0"/>
    <x v="143"/>
    <x v="63"/>
    <x v="7"/>
    <n v="10"/>
    <n v="24"/>
    <n v="240"/>
  </r>
  <r>
    <n v="263271"/>
    <n v="2212030"/>
    <x v="1"/>
    <x v="144"/>
    <x v="53"/>
    <x v="8"/>
    <n v="170"/>
    <n v="1.1000000000000001"/>
    <n v="187.00000000000003"/>
  </r>
  <r>
    <n v="264056"/>
    <n v="2214220"/>
    <x v="1"/>
    <x v="145"/>
    <x v="11"/>
    <x v="31"/>
    <n v="20"/>
    <n v="11"/>
    <n v="220"/>
  </r>
  <r>
    <n v="263733"/>
    <n v="2213340"/>
    <x v="1"/>
    <x v="145"/>
    <x v="157"/>
    <x v="5"/>
    <n v="30"/>
    <n v="6.5"/>
    <n v="195"/>
  </r>
  <r>
    <n v="264054"/>
    <n v="2214220"/>
    <x v="0"/>
    <x v="145"/>
    <x v="11"/>
    <x v="34"/>
    <n v="60"/>
    <n v="3"/>
    <n v="180"/>
  </r>
  <r>
    <n v="265187"/>
    <n v="2217290"/>
    <x v="0"/>
    <x v="146"/>
    <x v="22"/>
    <x v="28"/>
    <n v="10"/>
    <n v="21"/>
    <n v="210"/>
  </r>
  <r>
    <n v="267094"/>
    <n v="2222670"/>
    <x v="0"/>
    <x v="147"/>
    <x v="31"/>
    <x v="7"/>
    <n v="10"/>
    <n v="24"/>
    <n v="240"/>
  </r>
  <r>
    <n v="269095"/>
    <n v="2228040"/>
    <x v="1"/>
    <x v="148"/>
    <x v="158"/>
    <x v="28"/>
    <n v="10"/>
    <n v="16.600000000000001"/>
    <n v="166"/>
  </r>
  <r>
    <n v="271763"/>
    <n v="2235390"/>
    <x v="0"/>
    <x v="149"/>
    <x v="159"/>
    <x v="5"/>
    <n v="40"/>
    <n v="6.5"/>
    <n v="260"/>
  </r>
  <r>
    <n v="277854"/>
    <n v="2252570"/>
    <x v="1"/>
    <x v="150"/>
    <x v="95"/>
    <x v="31"/>
    <n v="20"/>
    <n v="11"/>
    <n v="220"/>
  </r>
  <r>
    <n v="278696"/>
    <n v="2254860"/>
    <x v="0"/>
    <x v="151"/>
    <x v="160"/>
    <x v="28"/>
    <n v="20"/>
    <n v="12.6"/>
    <n v="252"/>
  </r>
  <r>
    <n v="279818"/>
    <n v="2257660"/>
    <x v="0"/>
    <x v="152"/>
    <x v="161"/>
    <x v="35"/>
    <n v="20"/>
    <n v="28"/>
    <n v="560"/>
  </r>
  <r>
    <n v="280142"/>
    <n v="2258380"/>
    <x v="1"/>
    <x v="152"/>
    <x v="162"/>
    <x v="28"/>
    <n v="40"/>
    <n v="9.6"/>
    <n v="384"/>
  </r>
  <r>
    <n v="279990"/>
    <n v="2258020"/>
    <x v="1"/>
    <x v="152"/>
    <x v="163"/>
    <x v="31"/>
    <n v="20"/>
    <n v="11"/>
    <n v="220"/>
  </r>
  <r>
    <n v="279405"/>
    <n v="2256700"/>
    <x v="0"/>
    <x v="152"/>
    <x v="164"/>
    <x v="36"/>
    <n v="10"/>
    <n v="21"/>
    <n v="210"/>
  </r>
  <r>
    <n v="280064"/>
    <n v="2258200"/>
    <x v="1"/>
    <x v="152"/>
    <x v="109"/>
    <x v="36"/>
    <n v="10"/>
    <n v="21"/>
    <n v="210"/>
  </r>
  <r>
    <n v="280192"/>
    <n v="2258480"/>
    <x v="1"/>
    <x v="152"/>
    <x v="165"/>
    <x v="37"/>
    <n v="10"/>
    <n v="21"/>
    <n v="210"/>
  </r>
  <r>
    <n v="280277"/>
    <n v="2258680"/>
    <x v="0"/>
    <x v="152"/>
    <x v="166"/>
    <x v="36"/>
    <n v="10"/>
    <n v="21"/>
    <n v="210"/>
  </r>
  <r>
    <n v="280373"/>
    <n v="2258900"/>
    <x v="1"/>
    <x v="152"/>
    <x v="167"/>
    <x v="36"/>
    <n v="10"/>
    <n v="21"/>
    <n v="210"/>
  </r>
  <r>
    <n v="280613"/>
    <n v="2259400"/>
    <x v="1"/>
    <x v="153"/>
    <x v="168"/>
    <x v="28"/>
    <n v="30"/>
    <n v="11.65"/>
    <n v="349.5"/>
  </r>
  <r>
    <n v="280954"/>
    <n v="2260260"/>
    <x v="0"/>
    <x v="153"/>
    <x v="51"/>
    <x v="38"/>
    <n v="20"/>
    <n v="14"/>
    <n v="280"/>
  </r>
  <r>
    <n v="280598"/>
    <n v="2259370"/>
    <x v="1"/>
    <x v="153"/>
    <x v="169"/>
    <x v="36"/>
    <n v="10"/>
    <n v="21"/>
    <n v="210"/>
  </r>
  <r>
    <n v="282481"/>
    <n v="2264220"/>
    <x v="1"/>
    <x v="154"/>
    <x v="165"/>
    <x v="28"/>
    <n v="20"/>
    <n v="11.65"/>
    <n v="233"/>
  </r>
  <r>
    <n v="284478"/>
    <n v="2269640"/>
    <x v="0"/>
    <x v="155"/>
    <x v="170"/>
    <x v="28"/>
    <n v="20"/>
    <n v="11.65"/>
    <n v="233"/>
  </r>
  <r>
    <n v="285435"/>
    <n v="2271930"/>
    <x v="1"/>
    <x v="156"/>
    <x v="110"/>
    <x v="28"/>
    <n v="30"/>
    <n v="8.3000000000000007"/>
    <n v="249.00000000000003"/>
  </r>
  <r>
    <n v="285414"/>
    <n v="2271890"/>
    <x v="1"/>
    <x v="156"/>
    <x v="171"/>
    <x v="11"/>
    <n v="20"/>
    <n v="12"/>
    <n v="240"/>
  </r>
  <r>
    <n v="285420"/>
    <n v="2271900"/>
    <x v="0"/>
    <x v="156"/>
    <x v="132"/>
    <x v="28"/>
    <n v="20"/>
    <n v="11.65"/>
    <n v="233"/>
  </r>
  <r>
    <n v="285806"/>
    <n v="2272760"/>
    <x v="0"/>
    <x v="156"/>
    <x v="172"/>
    <x v="28"/>
    <n v="20"/>
    <n v="11.65"/>
    <n v="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EA34A-97F6-4931-B307-0932D6438223}" name="Pr. &lt; Q. T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H42:I50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de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2">
    <field x="2"/>
    <field x="5"/>
  </rowFields>
  <rowItems count="8">
    <i>
      <x/>
    </i>
    <i r="1">
      <x v="31"/>
    </i>
    <i r="1">
      <x v="2"/>
    </i>
    <i r="1">
      <x v="32"/>
    </i>
    <i r="1">
      <x v="3"/>
    </i>
    <i r="1">
      <x v="4"/>
    </i>
    <i r="1">
      <x v="17"/>
    </i>
    <i t="grand">
      <x/>
    </i>
  </rowItems>
  <colItems count="1">
    <i/>
  </colItems>
  <dataFields count="1">
    <dataField name="Suma de Cantida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8AB16-CBF5-456B-9645-B9C43A09D876}" name="Pr. &gt; Q. T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B42:C49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de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2">
    <field x="2"/>
    <field x="5"/>
  </rowFields>
  <rowItems count="7">
    <i>
      <x/>
    </i>
    <i r="1">
      <x v="5"/>
    </i>
    <i r="1">
      <x v="12"/>
    </i>
    <i r="1">
      <x v="7"/>
    </i>
    <i r="1">
      <x v="36"/>
    </i>
    <i r="1">
      <x v="28"/>
    </i>
    <i t="grand">
      <x/>
    </i>
  </rowItems>
  <colItems count="1">
    <i/>
  </colItems>
  <dataFields count="1">
    <dataField name="Suma de Cantida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CC988-9B3B-4ED0-ACD7-9703332467BB}" name="Resumen Pr. &lt; $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F29:H35" firstHeaderRow="0" firstDataRow="1" firstDataCol="1"/>
  <pivotFields count="11">
    <pivotField showAll="0"/>
    <pivotField showAll="0"/>
    <pivotField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de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dataField="1"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1">
    <field x="5"/>
  </rowFields>
  <rowItems count="6">
    <i>
      <x v="35"/>
    </i>
    <i>
      <x v="32"/>
    </i>
    <i>
      <x v="24"/>
    </i>
    <i>
      <x v="27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total" fld="8" baseField="0" baseItem="0" numFmtId="167"/>
    <dataField name="Suma de Cantidad" fld="6" baseField="0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EF8AC-2BAD-43CD-98B1-BC7C0A4E80A3}" name="Resumen Pr. &gt; $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B29:D35" firstHeaderRow="0" firstDataRow="1" firstDataCol="1"/>
  <pivotFields count="11">
    <pivotField showAll="0"/>
    <pivotField showAll="0"/>
    <pivotField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de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dataField="1"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1">
    <field x="5"/>
  </rowFields>
  <rowItems count="6">
    <i>
      <x v="12"/>
    </i>
    <i>
      <x v="37"/>
    </i>
    <i>
      <x v="28"/>
    </i>
    <i>
      <x v="5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 Venta total" fld="8" baseField="0" baseItem="0" numFmtId="167"/>
    <dataField name="Suma de Cantidad" fld="6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D1C0E-F74C-4CF7-8459-49E53038EFC4}" name="Resumen por me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E24" firstHeaderRow="0" firstDataRow="1" firstDataCol="1"/>
  <pivotFields count="11">
    <pivotField showAll="0"/>
    <pivotField showAll="0"/>
    <pivotField showAll="0">
      <items count="3">
        <item x="0"/>
        <item h="1" x="1"/>
        <item t="default"/>
      </items>
    </pivotField>
    <pivotField axis="axisRow" numFmtId="14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umFmtId="168" showAll="0"/>
    <pivotField showAll="0"/>
    <pivotField dataField="1" showAll="0"/>
    <pivotField numFmtId="166" showAll="0"/>
    <pivotField dataField="1" numFmtId="167" showAll="0"/>
    <pivotField showAll="0" defaultSubtotal="0"/>
    <pivotField dataField="1"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cturación" fld="8" baseField="0" baseItem="0" numFmtId="167"/>
    <dataField name="Cantidad." fld="6" baseField="0" baseItem="0"/>
    <dataField name="Ratio V/C (p. Unit)" fld="10" baseField="0" baseItem="0"/>
  </dataFields>
  <formats count="4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53F6F-C92A-4041-8A46-AD5AFC237E9F}" name="resumen por hora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I6:K17" firstHeaderRow="0" firstDataRow="1" firstDataCol="1"/>
  <pivotFields count="11">
    <pivotField showAll="0"/>
    <pivotField showAll="0"/>
    <pivotField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dataField="1" showAll="0"/>
    <pivotField numFmtId="166" showAll="0"/>
    <pivotField dataField="1" numFmtId="167" showAll="0"/>
    <pivotField axis="axisRow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dragToRow="0" dragToCol="0" dragToPage="0" showAll="0" defaultSubtotal="0"/>
  </pivotFields>
  <rowFields count="1">
    <field x="9"/>
  </rowFields>
  <rowItems count="11">
    <i>
      <x v="9"/>
    </i>
    <i>
      <x v="10"/>
    </i>
    <i>
      <x v="11"/>
    </i>
    <i>
      <x v="12"/>
    </i>
    <i>
      <x v="13"/>
    </i>
    <i>
      <x v="14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total" fld="8" baseField="0" baseItem="0" numFmtId="167"/>
    <dataField name="Suma de Cantidad" fld="6" baseField="0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DB003-E46B-4BE9-9350-37C64578DFF9}" name="Resumen x tienda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B6:D8" firstHeaderRow="0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dataField="1" showAll="0"/>
    <pivotField numFmtId="166" showAll="0"/>
    <pivotField dataField="1"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." fld="8" baseField="0" baseItem="0" numFmtId="167"/>
    <dataField name="Cantidades" fld="6" baseField="0" baseItem="0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F7779-9894-4AE5-9DF9-C349F466649A}" name="Pr. &lt; $. T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K42:L49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de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dataField="1"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2">
    <field x="2"/>
    <field x="5"/>
  </rowFields>
  <rowItems count="7">
    <i>
      <x/>
    </i>
    <i r="1">
      <x v="35"/>
    </i>
    <i r="1">
      <x v="32"/>
    </i>
    <i r="1">
      <x v="24"/>
    </i>
    <i r="1">
      <x v="27"/>
    </i>
    <i r="1">
      <x v="17"/>
    </i>
    <i t="grand">
      <x/>
    </i>
  </rowItems>
  <colItems count="1">
    <i/>
  </colItems>
  <dataFields count="1">
    <dataField name="Suma de Venta total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BC4D0-D638-4682-B0F4-7B1929D6E0C5}" name="Pr. &gt; $. T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E42:F47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8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measureFilter="1" sortType="ascending">
      <items count="40">
        <item x="21"/>
        <item x="33"/>
        <item x="38"/>
        <item x="36"/>
        <item x="35"/>
        <item x="24"/>
        <item x="25"/>
        <item x="8"/>
        <item x="37"/>
        <item x="7"/>
        <item x="15"/>
        <item x="13"/>
        <item x="5"/>
        <item x="1"/>
        <item x="11"/>
        <item x="3"/>
        <item x="9"/>
        <item x="6"/>
        <item x="4"/>
        <item x="31"/>
        <item x="2"/>
        <item x="18"/>
        <item x="32"/>
        <item x="26"/>
        <item x="34"/>
        <item x="12"/>
        <item x="14"/>
        <item x="0"/>
        <item x="10"/>
        <item x="29"/>
        <item x="19"/>
        <item x="20"/>
        <item x="16"/>
        <item x="22"/>
        <item x="27"/>
        <item x="23"/>
        <item x="17"/>
        <item x="28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dataField="1" numFmtId="167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2">
    <field x="2"/>
    <field x="5"/>
  </rowFields>
  <rowItems count="5">
    <i>
      <x/>
    </i>
    <i r="1">
      <x v="28"/>
    </i>
    <i r="1">
      <x v="37"/>
    </i>
    <i r="1">
      <x v="12"/>
    </i>
    <i t="grand">
      <x/>
    </i>
  </rowItems>
  <colItems count="1">
    <i/>
  </colItems>
  <dataFields count="1">
    <dataField name="Suma de Venta total" fld="8" baseField="0" baseItem="0" numFmtId="167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enda" xr10:uid="{87DC6EEB-E616-4A31-9866-7F6283781A55}" sourceName="Tienda">
  <pivotTables>
    <pivotTable tabId="10" name="Resumen x tienda"/>
    <pivotTable tabId="10" name="Pr. &lt; $. T"/>
    <pivotTable tabId="10" name="Pr. &lt; Q. T"/>
    <pivotTable tabId="10" name="Pr. &gt; $. T"/>
    <pivotTable tabId="10" name="Pr. &gt; Q. T"/>
    <pivotTable tabId="10" name="resumen por hora"/>
    <pivotTable tabId="10" name="Resumen por mes"/>
    <pivotTable tabId="10" name="Resumen Pr. &lt; $"/>
    <pivotTable tabId="10" name="Resumen Pr. &gt; $"/>
  </pivotTables>
  <data>
    <tabular pivotCacheId="157123261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" xr10:uid="{EAB11B52-1DA1-4CCB-8332-23AD5CBBBA9A}" cache="SegmentaciónDeDatos_Tienda" caption="Tienda" style="SlicerStyleDark1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B00A934C-A945-48AB-967D-2A039544AE64}" sourceName="Fecha">
  <pivotTables>
    <pivotTable tabId="10" name="Resumen x tienda"/>
    <pivotTable tabId="10" name="Pr. &lt; $. T"/>
    <pivotTable tabId="10" name="Pr. &lt; Q. T"/>
    <pivotTable tabId="10" name="Pr. &gt; $. T"/>
    <pivotTable tabId="10" name="Pr. &gt; Q. T"/>
    <pivotTable tabId="10" name="resumen por hora"/>
    <pivotTable tabId="10" name="Resumen Pr. &lt; $"/>
    <pivotTable tabId="10" name="Resumen Pr. &gt; $"/>
  </pivotTables>
  <state minimalRefreshVersion="6" lastRefreshVersion="6" pivotCacheId="157123261" filterType="unknown">
    <bounds startDate="2022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E41450CD-6303-41D6-8BF9-25052D8F38DA}" cache="NativeTimeline_Fecha" caption="Fecha" level="2" selectionLevel="2" scrollPosition="2022-11-01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7F5C-16B7-4921-82A9-BB5BB40E52FC}">
  <sheetPr>
    <tabColor rgb="FF660066"/>
  </sheetPr>
  <dimension ref="A1:AH68"/>
  <sheetViews>
    <sheetView showGridLines="0" tabSelected="1" zoomScale="70" zoomScaleNormal="70" workbookViewId="0">
      <selection activeCell="AC53" sqref="AC53"/>
    </sheetView>
  </sheetViews>
  <sheetFormatPr baseColWidth="10" defaultRowHeight="15" x14ac:dyDescent="0.25"/>
  <cols>
    <col min="1" max="1" width="11.42578125" style="16"/>
    <col min="2" max="3" width="11.42578125" style="16" customWidth="1"/>
    <col min="4" max="9" width="11.42578125" style="16"/>
    <col min="10" max="10" width="2.85546875" style="16" customWidth="1"/>
    <col min="11" max="11" width="4.140625" style="16" customWidth="1"/>
    <col min="12" max="12" width="3.85546875" style="16" customWidth="1"/>
    <col min="13" max="17" width="11.42578125" style="16"/>
    <col min="18" max="18" width="6.140625" style="16" customWidth="1"/>
    <col min="19" max="21" width="11.42578125" style="16"/>
    <col min="22" max="22" width="4.140625" style="16" customWidth="1"/>
    <col min="23" max="23" width="5" style="16" customWidth="1"/>
    <col min="24" max="24" width="4.140625" style="16" customWidth="1"/>
    <col min="25" max="16384" width="11.42578125" style="16"/>
  </cols>
  <sheetData>
    <row r="1" spans="1:34" ht="34.5" x14ac:dyDescent="0.25">
      <c r="A1" s="24" t="s">
        <v>59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15"/>
      <c r="B2" s="17"/>
      <c r="C2" s="18"/>
      <c r="D2" s="18"/>
      <c r="E2" s="18"/>
      <c r="F2" s="18"/>
      <c r="G2" s="18"/>
      <c r="H2" s="18"/>
      <c r="I2" s="18"/>
      <c r="J2" s="18"/>
      <c r="K2" s="19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X2" s="18"/>
      <c r="Y2" s="18"/>
      <c r="Z2" s="18"/>
    </row>
    <row r="3" spans="1:34" x14ac:dyDescent="0.25">
      <c r="K3" s="14"/>
      <c r="W3" s="14"/>
    </row>
    <row r="4" spans="1:34" ht="23.25" x14ac:dyDescent="0.35">
      <c r="K4" s="14"/>
      <c r="M4" s="20" t="s">
        <v>62</v>
      </c>
      <c r="N4" s="20"/>
      <c r="O4" s="20"/>
      <c r="P4" s="20"/>
      <c r="Q4" s="20"/>
      <c r="R4" s="20"/>
      <c r="S4" s="20"/>
      <c r="T4" s="20"/>
      <c r="U4" s="20"/>
      <c r="W4" s="14"/>
      <c r="Y4" s="23" t="s">
        <v>64</v>
      </c>
      <c r="Z4" s="23"/>
      <c r="AA4" s="23"/>
      <c r="AB4" s="23"/>
      <c r="AC4" s="23"/>
      <c r="AD4" s="23"/>
      <c r="AE4" s="23"/>
      <c r="AF4" s="23"/>
      <c r="AG4" s="23"/>
      <c r="AH4" s="23"/>
    </row>
    <row r="5" spans="1:34" x14ac:dyDescent="0.25">
      <c r="K5" s="14"/>
      <c r="W5" s="14"/>
    </row>
    <row r="6" spans="1:34" x14ac:dyDescent="0.25">
      <c r="K6" s="14"/>
      <c r="W6" s="14"/>
    </row>
    <row r="7" spans="1:34" x14ac:dyDescent="0.25">
      <c r="K7" s="14"/>
      <c r="W7" s="14"/>
    </row>
    <row r="8" spans="1:34" x14ac:dyDescent="0.25">
      <c r="K8" s="14"/>
      <c r="W8" s="14"/>
    </row>
    <row r="9" spans="1:34" x14ac:dyDescent="0.25">
      <c r="K9" s="14"/>
      <c r="W9" s="14"/>
    </row>
    <row r="10" spans="1:34" x14ac:dyDescent="0.25">
      <c r="K10" s="14"/>
      <c r="W10" s="14"/>
    </row>
    <row r="11" spans="1:34" x14ac:dyDescent="0.25">
      <c r="K11" s="14"/>
      <c r="W11" s="14"/>
    </row>
    <row r="12" spans="1:34" x14ac:dyDescent="0.25">
      <c r="K12" s="14"/>
      <c r="W12" s="14"/>
    </row>
    <row r="13" spans="1:34" x14ac:dyDescent="0.25">
      <c r="K13" s="14"/>
      <c r="W13" s="14"/>
    </row>
    <row r="14" spans="1:34" x14ac:dyDescent="0.25">
      <c r="K14" s="14"/>
      <c r="W14" s="14"/>
    </row>
    <row r="15" spans="1:34" ht="23.25" x14ac:dyDescent="0.35">
      <c r="A15" s="21" t="s">
        <v>61</v>
      </c>
      <c r="B15" s="21"/>
      <c r="C15" s="21"/>
      <c r="D15" s="21"/>
      <c r="E15" s="21"/>
      <c r="F15" s="21"/>
      <c r="G15" s="21"/>
      <c r="H15" s="21"/>
      <c r="I15" s="21"/>
      <c r="K15" s="14"/>
      <c r="W15" s="14"/>
    </row>
    <row r="16" spans="1:34" x14ac:dyDescent="0.25">
      <c r="K16" s="14"/>
      <c r="W16" s="14"/>
    </row>
    <row r="17" spans="11:23" x14ac:dyDescent="0.25">
      <c r="K17" s="14"/>
      <c r="W17" s="14"/>
    </row>
    <row r="18" spans="11:23" x14ac:dyDescent="0.25">
      <c r="K18" s="14"/>
      <c r="W18" s="14"/>
    </row>
    <row r="19" spans="11:23" x14ac:dyDescent="0.25">
      <c r="K19" s="14"/>
      <c r="W19" s="14"/>
    </row>
    <row r="20" spans="11:23" x14ac:dyDescent="0.25">
      <c r="K20" s="14"/>
      <c r="W20" s="14"/>
    </row>
    <row r="21" spans="11:23" x14ac:dyDescent="0.25">
      <c r="K21" s="14"/>
      <c r="W21" s="14"/>
    </row>
    <row r="22" spans="11:23" x14ac:dyDescent="0.25">
      <c r="K22" s="14"/>
      <c r="W22" s="14"/>
    </row>
    <row r="23" spans="11:23" x14ac:dyDescent="0.25">
      <c r="K23" s="14"/>
      <c r="W23" s="14"/>
    </row>
    <row r="24" spans="11:23" x14ac:dyDescent="0.25">
      <c r="K24" s="14"/>
      <c r="W24" s="14"/>
    </row>
    <row r="25" spans="11:23" x14ac:dyDescent="0.25">
      <c r="K25" s="14"/>
      <c r="W25" s="14"/>
    </row>
    <row r="26" spans="11:23" x14ac:dyDescent="0.25">
      <c r="K26" s="14"/>
      <c r="W26" s="14"/>
    </row>
    <row r="27" spans="11:23" x14ac:dyDescent="0.25">
      <c r="K27" s="14"/>
      <c r="W27" s="14"/>
    </row>
    <row r="28" spans="11:23" x14ac:dyDescent="0.25">
      <c r="K28" s="14"/>
      <c r="W28" s="14"/>
    </row>
    <row r="29" spans="11:23" x14ac:dyDescent="0.25">
      <c r="K29" s="14"/>
      <c r="W29" s="14"/>
    </row>
    <row r="30" spans="11:23" x14ac:dyDescent="0.25">
      <c r="K30" s="14"/>
      <c r="W30" s="14"/>
    </row>
    <row r="31" spans="11:23" x14ac:dyDescent="0.25">
      <c r="K31" s="14"/>
      <c r="W31" s="14"/>
    </row>
    <row r="32" spans="11:23" x14ac:dyDescent="0.25">
      <c r="K32" s="14"/>
      <c r="W32" s="14"/>
    </row>
    <row r="33" spans="11:23" x14ac:dyDescent="0.25">
      <c r="K33" s="14"/>
      <c r="W33" s="14"/>
    </row>
    <row r="34" spans="11:23" x14ac:dyDescent="0.25">
      <c r="K34" s="14"/>
      <c r="W34" s="14"/>
    </row>
    <row r="35" spans="11:23" x14ac:dyDescent="0.25">
      <c r="K35" s="14"/>
      <c r="W35" s="14"/>
    </row>
    <row r="36" spans="11:23" x14ac:dyDescent="0.25">
      <c r="K36" s="14"/>
      <c r="W36" s="14"/>
    </row>
    <row r="37" spans="11:23" x14ac:dyDescent="0.25">
      <c r="K37" s="14"/>
      <c r="W37" s="14"/>
    </row>
    <row r="38" spans="11:23" x14ac:dyDescent="0.25">
      <c r="K38" s="14"/>
      <c r="W38" s="14"/>
    </row>
    <row r="39" spans="11:23" x14ac:dyDescent="0.25">
      <c r="K39" s="14"/>
      <c r="W39" s="14"/>
    </row>
    <row r="40" spans="11:23" x14ac:dyDescent="0.25">
      <c r="K40" s="14"/>
      <c r="W40" s="14"/>
    </row>
    <row r="41" spans="11:23" x14ac:dyDescent="0.25">
      <c r="K41" s="14"/>
      <c r="W41" s="14"/>
    </row>
    <row r="42" spans="11:23" x14ac:dyDescent="0.25">
      <c r="K42" s="14"/>
      <c r="W42" s="14"/>
    </row>
    <row r="43" spans="11:23" x14ac:dyDescent="0.25">
      <c r="K43" s="14"/>
      <c r="W43" s="14"/>
    </row>
    <row r="44" spans="11:23" ht="23.25" x14ac:dyDescent="0.35">
      <c r="K44" s="14"/>
      <c r="M44" s="22" t="s">
        <v>63</v>
      </c>
      <c r="N44" s="22"/>
      <c r="O44" s="22"/>
      <c r="P44" s="22"/>
      <c r="Q44" s="22"/>
      <c r="R44" s="22"/>
      <c r="S44" s="22"/>
      <c r="T44" s="22"/>
      <c r="U44" s="22"/>
      <c r="W44" s="14"/>
    </row>
    <row r="45" spans="11:23" x14ac:dyDescent="0.25">
      <c r="K45" s="14"/>
      <c r="W45" s="14"/>
    </row>
    <row r="46" spans="11:23" x14ac:dyDescent="0.25">
      <c r="K46" s="14"/>
      <c r="W46" s="14"/>
    </row>
    <row r="47" spans="11:23" x14ac:dyDescent="0.25">
      <c r="K47" s="14"/>
      <c r="W47" s="14"/>
    </row>
    <row r="48" spans="11:23" x14ac:dyDescent="0.25">
      <c r="K48" s="14"/>
      <c r="W48" s="14"/>
    </row>
    <row r="49" spans="11:23" x14ac:dyDescent="0.25">
      <c r="K49" s="14"/>
      <c r="W49" s="14"/>
    </row>
    <row r="50" spans="11:23" x14ac:dyDescent="0.25">
      <c r="K50" s="14"/>
      <c r="W50" s="14"/>
    </row>
    <row r="51" spans="11:23" x14ac:dyDescent="0.25">
      <c r="K51" s="14"/>
      <c r="W51" s="14"/>
    </row>
    <row r="52" spans="11:23" x14ac:dyDescent="0.25">
      <c r="K52" s="14"/>
      <c r="W52" s="14"/>
    </row>
    <row r="53" spans="11:23" x14ac:dyDescent="0.25">
      <c r="K53" s="14"/>
      <c r="W53" s="14"/>
    </row>
    <row r="54" spans="11:23" x14ac:dyDescent="0.25">
      <c r="K54" s="14"/>
      <c r="W54" s="14"/>
    </row>
    <row r="55" spans="11:23" x14ac:dyDescent="0.25">
      <c r="K55" s="14"/>
      <c r="W55" s="14"/>
    </row>
    <row r="56" spans="11:23" x14ac:dyDescent="0.25">
      <c r="K56" s="14"/>
      <c r="W56" s="14"/>
    </row>
    <row r="57" spans="11:23" x14ac:dyDescent="0.25">
      <c r="K57" s="14"/>
      <c r="W57" s="14"/>
    </row>
    <row r="58" spans="11:23" x14ac:dyDescent="0.25">
      <c r="K58" s="14"/>
      <c r="W58" s="14"/>
    </row>
    <row r="59" spans="11:23" x14ac:dyDescent="0.25">
      <c r="K59" s="14"/>
      <c r="W59" s="14"/>
    </row>
    <row r="60" spans="11:23" x14ac:dyDescent="0.25">
      <c r="K60" s="14"/>
      <c r="W60" s="14"/>
    </row>
    <row r="61" spans="11:23" x14ac:dyDescent="0.25">
      <c r="K61" s="14"/>
      <c r="W61" s="14"/>
    </row>
    <row r="62" spans="11:23" x14ac:dyDescent="0.25">
      <c r="K62" s="14"/>
      <c r="W62" s="14"/>
    </row>
    <row r="63" spans="11:23" x14ac:dyDescent="0.25">
      <c r="K63" s="14"/>
      <c r="W63" s="14"/>
    </row>
    <row r="64" spans="11:23" x14ac:dyDescent="0.25">
      <c r="K64" s="14"/>
      <c r="W64" s="14"/>
    </row>
    <row r="65" spans="11:23" x14ac:dyDescent="0.25">
      <c r="K65" s="14"/>
      <c r="W65" s="14"/>
    </row>
    <row r="66" spans="11:23" x14ac:dyDescent="0.25">
      <c r="K66" s="14"/>
      <c r="W66" s="14"/>
    </row>
    <row r="67" spans="11:23" x14ac:dyDescent="0.25">
      <c r="K67" s="14"/>
      <c r="W67" s="14"/>
    </row>
    <row r="68" spans="11:23" x14ac:dyDescent="0.25">
      <c r="K68" s="14"/>
      <c r="W68" s="14"/>
    </row>
  </sheetData>
  <mergeCells count="5">
    <mergeCell ref="A1:AH1"/>
    <mergeCell ref="A15:I15"/>
    <mergeCell ref="M44:U44"/>
    <mergeCell ref="M4:U4"/>
    <mergeCell ref="Y4:AH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0EEB-E52A-47E3-AC2B-FF71D64CE020}">
  <sheetPr>
    <tabColor rgb="FF7030A0"/>
  </sheetPr>
  <dimension ref="B2:M50"/>
  <sheetViews>
    <sheetView zoomScaleNormal="100" workbookViewId="0">
      <selection activeCell="B43" sqref="B43"/>
    </sheetView>
  </sheetViews>
  <sheetFormatPr baseColWidth="10" defaultRowHeight="15" x14ac:dyDescent="0.25"/>
  <cols>
    <col min="2" max="2" width="25.7109375" customWidth="1"/>
    <col min="3" max="4" width="17" bestFit="1" customWidth="1"/>
    <col min="5" max="5" width="25.5703125" customWidth="1"/>
    <col min="6" max="6" width="17.5703125" bestFit="1" customWidth="1"/>
    <col min="7" max="7" width="19" bestFit="1" customWidth="1"/>
    <col min="8" max="8" width="20.85546875" customWidth="1"/>
    <col min="9" max="9" width="17.5703125" bestFit="1" customWidth="1"/>
    <col min="10" max="10" width="19" bestFit="1" customWidth="1"/>
    <col min="11" max="11" width="21.85546875" customWidth="1"/>
    <col min="12" max="12" width="19" bestFit="1" customWidth="1"/>
    <col min="13" max="19" width="7.5703125" customWidth="1"/>
    <col min="20" max="23" width="3.85546875" bestFit="1" customWidth="1"/>
    <col min="24" max="24" width="4.85546875" bestFit="1" customWidth="1"/>
    <col min="25" max="25" width="11.7109375" bestFit="1" customWidth="1"/>
    <col min="26" max="60" width="21.28515625" bestFit="1" customWidth="1"/>
    <col min="61" max="62" width="11.7109375" bestFit="1" customWidth="1"/>
    <col min="63" max="63" width="12.140625" bestFit="1" customWidth="1"/>
    <col min="64" max="91" width="9.5703125" bestFit="1" customWidth="1"/>
    <col min="92" max="92" width="12.140625" bestFit="1" customWidth="1"/>
    <col min="93" max="134" width="9.7109375" bestFit="1" customWidth="1"/>
    <col min="135" max="135" width="12.28515625" bestFit="1" customWidth="1"/>
    <col min="136" max="160" width="9.7109375" bestFit="1" customWidth="1"/>
    <col min="161" max="161" width="12.28515625" bestFit="1" customWidth="1"/>
    <col min="162" max="162" width="9.7109375" bestFit="1" customWidth="1"/>
    <col min="163" max="163" width="12.28515625" bestFit="1" customWidth="1"/>
    <col min="164" max="170" width="9.7109375" bestFit="1" customWidth="1"/>
    <col min="171" max="171" width="12.28515625" bestFit="1" customWidth="1"/>
    <col min="172" max="175" width="9.7109375" bestFit="1" customWidth="1"/>
    <col min="176" max="176" width="12.28515625" bestFit="1" customWidth="1"/>
    <col min="177" max="181" width="9.7109375" bestFit="1" customWidth="1"/>
    <col min="182" max="182" width="12.28515625" bestFit="1" customWidth="1"/>
    <col min="183" max="184" width="9.7109375" bestFit="1" customWidth="1"/>
    <col min="185" max="185" width="12.28515625" bestFit="1" customWidth="1"/>
    <col min="186" max="186" width="11.7109375" bestFit="1" customWidth="1"/>
  </cols>
  <sheetData>
    <row r="2" spans="2:13" s="1" customFormat="1" ht="19.5" x14ac:dyDescent="0.25">
      <c r="B2" s="13" t="s">
        <v>60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2:13" x14ac:dyDescent="0.25">
      <c r="B4" s="12" t="s">
        <v>55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6" spans="2:13" x14ac:dyDescent="0.25">
      <c r="B6" s="2" t="s">
        <v>3</v>
      </c>
      <c r="C6" t="s">
        <v>57</v>
      </c>
      <c r="D6" t="s">
        <v>52</v>
      </c>
      <c r="F6" s="8" t="s">
        <v>56</v>
      </c>
      <c r="I6" s="2" t="s">
        <v>3</v>
      </c>
      <c r="J6" t="s">
        <v>4</v>
      </c>
      <c r="K6" t="s">
        <v>16</v>
      </c>
    </row>
    <row r="7" spans="2:13" x14ac:dyDescent="0.25">
      <c r="B7" s="3" t="s">
        <v>1</v>
      </c>
      <c r="C7" s="5">
        <v>30876</v>
      </c>
      <c r="D7" s="11">
        <v>7810</v>
      </c>
      <c r="F7" s="9" t="s">
        <v>34</v>
      </c>
      <c r="G7" s="10">
        <f>SUM(C7:C8)</f>
        <v>61752</v>
      </c>
      <c r="I7" s="3" t="s">
        <v>35</v>
      </c>
      <c r="J7" s="5">
        <v>2697</v>
      </c>
      <c r="K7" s="11">
        <v>800</v>
      </c>
    </row>
    <row r="8" spans="2:13" x14ac:dyDescent="0.25">
      <c r="B8" s="3" t="s">
        <v>2</v>
      </c>
      <c r="C8" s="5">
        <v>30876</v>
      </c>
      <c r="D8" s="11">
        <v>7810</v>
      </c>
      <c r="F8" s="9" t="s">
        <v>0</v>
      </c>
      <c r="G8" s="9">
        <f>SUM(D7:D8)</f>
        <v>15620</v>
      </c>
      <c r="I8" s="3" t="s">
        <v>36</v>
      </c>
      <c r="J8" s="5">
        <v>3737</v>
      </c>
      <c r="K8" s="11">
        <v>2340</v>
      </c>
    </row>
    <row r="9" spans="2:13" x14ac:dyDescent="0.25">
      <c r="I9" s="3" t="s">
        <v>37</v>
      </c>
      <c r="J9" s="5">
        <v>4813</v>
      </c>
      <c r="K9" s="11">
        <v>1420</v>
      </c>
    </row>
    <row r="10" spans="2:13" x14ac:dyDescent="0.25">
      <c r="B10" s="3"/>
      <c r="C10" s="5"/>
      <c r="I10" s="3" t="s">
        <v>38</v>
      </c>
      <c r="J10" s="5">
        <v>5821</v>
      </c>
      <c r="K10" s="11">
        <v>780</v>
      </c>
    </row>
    <row r="11" spans="2:13" x14ac:dyDescent="0.25">
      <c r="B11" s="2" t="s">
        <v>3</v>
      </c>
      <c r="C11" s="5" t="s">
        <v>34</v>
      </c>
      <c r="D11" t="s">
        <v>45</v>
      </c>
      <c r="E11" t="s">
        <v>50</v>
      </c>
      <c r="I11" s="3" t="s">
        <v>39</v>
      </c>
      <c r="J11" s="5">
        <v>8275</v>
      </c>
      <c r="K11" s="11">
        <v>1140</v>
      </c>
    </row>
    <row r="12" spans="2:13" x14ac:dyDescent="0.25">
      <c r="B12" s="6" t="s">
        <v>22</v>
      </c>
      <c r="C12" s="5">
        <v>1755</v>
      </c>
      <c r="D12" s="11">
        <v>230</v>
      </c>
      <c r="E12" s="7">
        <v>7.6304347826086953</v>
      </c>
      <c r="I12" s="3" t="s">
        <v>40</v>
      </c>
      <c r="J12" s="5">
        <v>2990</v>
      </c>
      <c r="K12" s="11">
        <v>480</v>
      </c>
    </row>
    <row r="13" spans="2:13" x14ac:dyDescent="0.25">
      <c r="B13" s="6" t="s">
        <v>23</v>
      </c>
      <c r="C13" s="5">
        <v>1545</v>
      </c>
      <c r="D13" s="11">
        <v>340</v>
      </c>
      <c r="E13" s="7">
        <v>4.5441176470588234</v>
      </c>
      <c r="I13" s="3" t="s">
        <v>41</v>
      </c>
      <c r="J13" s="5">
        <v>1080</v>
      </c>
      <c r="K13" s="11">
        <v>490</v>
      </c>
    </row>
    <row r="14" spans="2:13" x14ac:dyDescent="0.25">
      <c r="B14" s="6" t="s">
        <v>24</v>
      </c>
      <c r="C14" s="5">
        <v>1820</v>
      </c>
      <c r="D14" s="11">
        <v>200</v>
      </c>
      <c r="E14" s="7">
        <v>9.1</v>
      </c>
      <c r="I14" s="3" t="s">
        <v>42</v>
      </c>
      <c r="J14" s="5">
        <v>508</v>
      </c>
      <c r="K14" s="11">
        <v>130</v>
      </c>
    </row>
    <row r="15" spans="2:13" x14ac:dyDescent="0.25">
      <c r="B15" s="6" t="s">
        <v>25</v>
      </c>
      <c r="C15" s="5">
        <v>3465</v>
      </c>
      <c r="D15" s="11">
        <v>540</v>
      </c>
      <c r="E15" s="7">
        <v>6.416666666666667</v>
      </c>
      <c r="I15" s="3" t="s">
        <v>43</v>
      </c>
      <c r="J15" s="5">
        <v>420</v>
      </c>
      <c r="K15" s="11">
        <v>170</v>
      </c>
    </row>
    <row r="16" spans="2:13" x14ac:dyDescent="0.25">
      <c r="B16" s="6" t="s">
        <v>26</v>
      </c>
      <c r="C16" s="5">
        <v>2100</v>
      </c>
      <c r="D16" s="11">
        <v>250</v>
      </c>
      <c r="E16" s="7">
        <v>8.4</v>
      </c>
      <c r="I16" s="3" t="s">
        <v>44</v>
      </c>
      <c r="J16" s="5">
        <v>535</v>
      </c>
      <c r="K16" s="11">
        <v>60</v>
      </c>
    </row>
    <row r="17" spans="2:11" x14ac:dyDescent="0.25">
      <c r="B17" s="6" t="s">
        <v>27</v>
      </c>
      <c r="C17" s="5">
        <v>5075</v>
      </c>
      <c r="D17" s="11">
        <v>2510</v>
      </c>
      <c r="E17" s="7">
        <v>2.0219123505976095</v>
      </c>
      <c r="I17" s="3" t="s">
        <v>2</v>
      </c>
      <c r="J17" s="5">
        <v>30876</v>
      </c>
      <c r="K17" s="11">
        <v>7810</v>
      </c>
    </row>
    <row r="18" spans="2:11" x14ac:dyDescent="0.25">
      <c r="B18" s="6" t="s">
        <v>28</v>
      </c>
      <c r="C18" s="5">
        <v>2520</v>
      </c>
      <c r="D18" s="11">
        <v>530</v>
      </c>
      <c r="E18" s="7">
        <v>4.7547169811320753</v>
      </c>
    </row>
    <row r="19" spans="2:11" x14ac:dyDescent="0.25">
      <c r="B19" s="6" t="s">
        <v>29</v>
      </c>
      <c r="C19" s="5">
        <v>3185</v>
      </c>
      <c r="D19" s="11">
        <v>860</v>
      </c>
      <c r="E19" s="7">
        <v>3.7034883720930232</v>
      </c>
    </row>
    <row r="20" spans="2:11" x14ac:dyDescent="0.25">
      <c r="B20" s="6" t="s">
        <v>30</v>
      </c>
      <c r="C20" s="5">
        <v>2647</v>
      </c>
      <c r="D20" s="11">
        <v>880</v>
      </c>
      <c r="E20" s="7">
        <v>3.0079545454545453</v>
      </c>
    </row>
    <row r="21" spans="2:11" x14ac:dyDescent="0.25">
      <c r="B21" s="6" t="s">
        <v>31</v>
      </c>
      <c r="C21" s="5">
        <v>2496</v>
      </c>
      <c r="D21" s="11">
        <v>730</v>
      </c>
      <c r="E21" s="7">
        <v>3.419178082191781</v>
      </c>
    </row>
    <row r="22" spans="2:11" x14ac:dyDescent="0.25">
      <c r="B22" s="6" t="s">
        <v>32</v>
      </c>
      <c r="C22" s="5">
        <v>1797</v>
      </c>
      <c r="D22" s="11">
        <v>560</v>
      </c>
      <c r="E22" s="7">
        <v>3.2089285714285714</v>
      </c>
    </row>
    <row r="23" spans="2:11" x14ac:dyDescent="0.25">
      <c r="B23" s="6" t="s">
        <v>33</v>
      </c>
      <c r="C23" s="5">
        <v>2471</v>
      </c>
      <c r="D23" s="11">
        <v>180</v>
      </c>
      <c r="E23" s="7">
        <v>13.727777777777778</v>
      </c>
    </row>
    <row r="24" spans="2:11" x14ac:dyDescent="0.25">
      <c r="B24" s="6" t="s">
        <v>2</v>
      </c>
      <c r="C24" s="5">
        <v>30876</v>
      </c>
      <c r="D24" s="11">
        <v>7810</v>
      </c>
      <c r="E24" s="7">
        <v>3.953393085787452</v>
      </c>
    </row>
    <row r="27" spans="2:11" x14ac:dyDescent="0.25">
      <c r="B27" s="8" t="s">
        <v>53</v>
      </c>
      <c r="F27" s="8" t="s">
        <v>49</v>
      </c>
    </row>
    <row r="29" spans="2:11" x14ac:dyDescent="0.25">
      <c r="B29" s="2" t="s">
        <v>3</v>
      </c>
      <c r="C29" t="s">
        <v>58</v>
      </c>
      <c r="D29" t="s">
        <v>16</v>
      </c>
      <c r="F29" s="2" t="s">
        <v>3</v>
      </c>
      <c r="G29" t="s">
        <v>4</v>
      </c>
      <c r="H29" t="s">
        <v>16</v>
      </c>
    </row>
    <row r="30" spans="2:11" x14ac:dyDescent="0.25">
      <c r="B30" s="3" t="s">
        <v>11</v>
      </c>
      <c r="C30" s="5">
        <v>9945</v>
      </c>
      <c r="D30" s="11">
        <v>1530</v>
      </c>
      <c r="F30" s="3" t="s">
        <v>18</v>
      </c>
      <c r="G30" s="5">
        <v>240</v>
      </c>
      <c r="H30" s="11">
        <v>80</v>
      </c>
    </row>
    <row r="31" spans="2:11" x14ac:dyDescent="0.25">
      <c r="B31" s="3" t="s">
        <v>10</v>
      </c>
      <c r="C31" s="5">
        <v>3191</v>
      </c>
      <c r="D31" s="11">
        <v>270</v>
      </c>
      <c r="F31" s="3" t="s">
        <v>8</v>
      </c>
      <c r="G31" s="5">
        <v>180</v>
      </c>
      <c r="H31" s="11">
        <v>20</v>
      </c>
    </row>
    <row r="32" spans="2:11" x14ac:dyDescent="0.25">
      <c r="B32" s="3" t="s">
        <v>9</v>
      </c>
      <c r="C32" s="5">
        <v>2025</v>
      </c>
      <c r="D32" s="11">
        <v>450</v>
      </c>
      <c r="F32" s="3" t="s">
        <v>7</v>
      </c>
      <c r="G32" s="5">
        <v>180</v>
      </c>
      <c r="H32" s="11">
        <v>60</v>
      </c>
    </row>
    <row r="33" spans="2:13" x14ac:dyDescent="0.25">
      <c r="B33" s="3" t="s">
        <v>14</v>
      </c>
      <c r="C33" s="5">
        <v>2000</v>
      </c>
      <c r="D33" s="11">
        <v>2000</v>
      </c>
      <c r="F33" s="3" t="s">
        <v>6</v>
      </c>
      <c r="G33" s="5">
        <v>175</v>
      </c>
      <c r="H33" s="11">
        <v>50</v>
      </c>
    </row>
    <row r="34" spans="2:13" x14ac:dyDescent="0.25">
      <c r="B34" s="3" t="s">
        <v>12</v>
      </c>
      <c r="C34" s="5">
        <v>1425</v>
      </c>
      <c r="D34" s="11">
        <v>190</v>
      </c>
      <c r="F34" s="3" t="s">
        <v>5</v>
      </c>
      <c r="G34" s="5">
        <v>160</v>
      </c>
      <c r="H34" s="11">
        <v>10</v>
      </c>
    </row>
    <row r="35" spans="2:13" x14ac:dyDescent="0.25">
      <c r="B35" s="3" t="s">
        <v>2</v>
      </c>
      <c r="C35" s="5">
        <v>18586</v>
      </c>
      <c r="D35" s="11">
        <v>4440</v>
      </c>
      <c r="F35" s="3" t="s">
        <v>2</v>
      </c>
      <c r="G35" s="5">
        <v>935</v>
      </c>
      <c r="H35" s="11">
        <v>220</v>
      </c>
    </row>
    <row r="38" spans="2:13" x14ac:dyDescent="0.25">
      <c r="B38" s="12" t="s">
        <v>54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40" spans="2:13" x14ac:dyDescent="0.25">
      <c r="B40" s="8" t="s">
        <v>46</v>
      </c>
      <c r="E40" s="8" t="s">
        <v>51</v>
      </c>
      <c r="H40" s="8" t="s">
        <v>47</v>
      </c>
      <c r="K40" s="8" t="s">
        <v>48</v>
      </c>
    </row>
    <row r="42" spans="2:13" x14ac:dyDescent="0.25">
      <c r="B42" s="2" t="s">
        <v>3</v>
      </c>
      <c r="C42" t="s">
        <v>16</v>
      </c>
      <c r="E42" s="2" t="s">
        <v>3</v>
      </c>
      <c r="F42" t="s">
        <v>4</v>
      </c>
      <c r="H42" s="2" t="s">
        <v>3</v>
      </c>
      <c r="I42" t="s">
        <v>16</v>
      </c>
      <c r="K42" s="2" t="s">
        <v>3</v>
      </c>
      <c r="L42" t="s">
        <v>4</v>
      </c>
    </row>
    <row r="43" spans="2:13" x14ac:dyDescent="0.25">
      <c r="B43" s="3" t="s">
        <v>1</v>
      </c>
      <c r="C43" s="11">
        <v>4880</v>
      </c>
      <c r="E43" s="3" t="s">
        <v>1</v>
      </c>
      <c r="F43" s="5">
        <v>15161</v>
      </c>
      <c r="H43" s="3" t="s">
        <v>1</v>
      </c>
      <c r="I43" s="11">
        <v>110</v>
      </c>
      <c r="K43" s="3" t="s">
        <v>1</v>
      </c>
      <c r="L43" s="11">
        <v>935</v>
      </c>
    </row>
    <row r="44" spans="2:13" x14ac:dyDescent="0.25">
      <c r="B44" s="4" t="s">
        <v>14</v>
      </c>
      <c r="C44" s="11">
        <v>2000</v>
      </c>
      <c r="E44" s="4" t="s">
        <v>9</v>
      </c>
      <c r="F44" s="5">
        <v>2025</v>
      </c>
      <c r="H44" s="4" t="s">
        <v>17</v>
      </c>
      <c r="I44" s="11">
        <v>20</v>
      </c>
      <c r="K44" s="4" t="s">
        <v>18</v>
      </c>
      <c r="L44" s="11">
        <v>240</v>
      </c>
    </row>
    <row r="45" spans="2:13" x14ac:dyDescent="0.25">
      <c r="B45" s="4" t="s">
        <v>11</v>
      </c>
      <c r="C45" s="11">
        <v>1530</v>
      </c>
      <c r="E45" s="4" t="s">
        <v>10</v>
      </c>
      <c r="F45" s="5">
        <v>3191</v>
      </c>
      <c r="H45" s="4" t="s">
        <v>21</v>
      </c>
      <c r="I45" s="11">
        <v>20</v>
      </c>
      <c r="K45" s="4" t="s">
        <v>8</v>
      </c>
      <c r="L45" s="11">
        <v>180</v>
      </c>
    </row>
    <row r="46" spans="2:13" x14ac:dyDescent="0.25">
      <c r="B46" s="4" t="s">
        <v>15</v>
      </c>
      <c r="C46" s="11">
        <v>450</v>
      </c>
      <c r="E46" s="4" t="s">
        <v>11</v>
      </c>
      <c r="F46" s="5">
        <v>9945</v>
      </c>
      <c r="H46" s="4" t="s">
        <v>8</v>
      </c>
      <c r="I46" s="11">
        <v>20</v>
      </c>
      <c r="K46" s="4" t="s">
        <v>7</v>
      </c>
      <c r="L46" s="11">
        <v>180</v>
      </c>
    </row>
    <row r="47" spans="2:13" x14ac:dyDescent="0.25">
      <c r="B47" s="4" t="s">
        <v>13</v>
      </c>
      <c r="C47" s="11">
        <v>450</v>
      </c>
      <c r="E47" s="3" t="s">
        <v>2</v>
      </c>
      <c r="F47" s="5">
        <v>15161</v>
      </c>
      <c r="H47" s="4" t="s">
        <v>20</v>
      </c>
      <c r="I47" s="11">
        <v>20</v>
      </c>
      <c r="K47" s="4" t="s">
        <v>6</v>
      </c>
      <c r="L47" s="11">
        <v>175</v>
      </c>
    </row>
    <row r="48" spans="2:13" x14ac:dyDescent="0.25">
      <c r="B48" s="4" t="s">
        <v>9</v>
      </c>
      <c r="C48" s="11">
        <v>450</v>
      </c>
      <c r="H48" s="4" t="s">
        <v>19</v>
      </c>
      <c r="I48" s="11">
        <v>20</v>
      </c>
      <c r="K48" s="4" t="s">
        <v>5</v>
      </c>
      <c r="L48" s="11">
        <v>160</v>
      </c>
    </row>
    <row r="49" spans="2:12" x14ac:dyDescent="0.25">
      <c r="B49" s="3" t="s">
        <v>2</v>
      </c>
      <c r="C49" s="11">
        <v>4880</v>
      </c>
      <c r="H49" s="4" t="s">
        <v>5</v>
      </c>
      <c r="I49" s="11">
        <v>10</v>
      </c>
      <c r="K49" s="3" t="s">
        <v>2</v>
      </c>
      <c r="L49" s="11">
        <v>935</v>
      </c>
    </row>
    <row r="50" spans="2:12" x14ac:dyDescent="0.25">
      <c r="H50" s="3" t="s">
        <v>2</v>
      </c>
      <c r="I50" s="11">
        <v>110</v>
      </c>
    </row>
  </sheetData>
  <mergeCells count="3">
    <mergeCell ref="B4:M4"/>
    <mergeCell ref="B2:M2"/>
    <mergeCell ref="B38:M38"/>
  </mergeCells>
  <pageMargins left="0.7" right="0.7" top="0.75" bottom="0.75" header="0.3" footer="0.3"/>
  <pageSetup orientation="portrait" horizontalDpi="4294967293" r:id="rId10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81C26-0F37-450D-A656-1794BFF540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GH</dc:creator>
  <cp:lastModifiedBy>Alexander Inturias</cp:lastModifiedBy>
  <dcterms:created xsi:type="dcterms:W3CDTF">2022-12-04T22:42:45Z</dcterms:created>
  <dcterms:modified xsi:type="dcterms:W3CDTF">2026-04-12T03:43:47Z</dcterms:modified>
</cp:coreProperties>
</file>