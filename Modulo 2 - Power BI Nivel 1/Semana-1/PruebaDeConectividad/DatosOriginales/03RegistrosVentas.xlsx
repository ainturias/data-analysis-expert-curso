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ida\Documents\Consultoria\Fernando\SOE Abr2026 PowerBI\01 Material\Adjuntos\"/>
    </mc:Choice>
  </mc:AlternateContent>
  <xr:revisionPtr revIDLastSave="0" documentId="13_ncr:1_{ABDFF452-5FD8-4351-8038-FDE0C903B972}" xr6:coauthVersionLast="47" xr6:coauthVersionMax="47" xr10:uidLastSave="{00000000-0000-0000-0000-000000000000}"/>
  <bookViews>
    <workbookView xWindow="20370" yWindow="-120" windowWidth="29040" windowHeight="15840" tabRatio="887" xr2:uid="{00000000-000D-0000-FFFF-FFFF00000000}"/>
  </bookViews>
  <sheets>
    <sheet name="Hoja 1" sheetId="2" r:id="rId1"/>
    <sheet name="R1" sheetId="30" state="hidden" r:id="rId2"/>
    <sheet name="R2" sheetId="31" state="hidden" r:id="rId3"/>
    <sheet name="R3" sheetId="32" state="hidden" r:id="rId4"/>
    <sheet name="R4" sheetId="33" state="hidden" r:id="rId5"/>
    <sheet name="R5" sheetId="34" state="hidden" r:id="rId6"/>
    <sheet name="R6" sheetId="35" state="hidden" r:id="rId7"/>
    <sheet name="R7" sheetId="36" state="hidden" r:id="rId8"/>
    <sheet name="R8" sheetId="37" state="hidden" r:id="rId9"/>
    <sheet name="R9" sheetId="38" state="hidden" r:id="rId10"/>
    <sheet name="R10" sheetId="39" state="hidden" r:id="rId11"/>
  </sheets>
  <definedNames>
    <definedName name="ventas13" localSheetId="0">'Hoja 1'!$A$1:$I$49</definedName>
    <definedName name="ventas13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2" l="1"/>
  <c r="I39" i="2"/>
  <c r="I49" i="2"/>
  <c r="I48" i="2"/>
  <c r="I47" i="2"/>
  <c r="I38" i="2"/>
  <c r="I46" i="2"/>
  <c r="I37" i="2"/>
  <c r="I19" i="2"/>
  <c r="I28" i="2"/>
  <c r="I8" i="2"/>
  <c r="I36" i="2"/>
  <c r="I35" i="2"/>
  <c r="I7" i="2"/>
  <c r="I34" i="2"/>
  <c r="I18" i="2"/>
  <c r="I45" i="2"/>
  <c r="I44" i="2"/>
  <c r="I17" i="2"/>
  <c r="I16" i="2"/>
  <c r="I6" i="2"/>
  <c r="I15" i="2"/>
  <c r="I5" i="2"/>
  <c r="I27" i="2"/>
  <c r="I4" i="2"/>
  <c r="I14" i="2"/>
  <c r="I26" i="2"/>
  <c r="I25" i="2"/>
  <c r="I43" i="2"/>
  <c r="I24" i="2"/>
  <c r="I23" i="2"/>
  <c r="I33" i="2"/>
  <c r="I42" i="2"/>
  <c r="I13" i="2"/>
  <c r="I41" i="2"/>
  <c r="I22" i="2"/>
  <c r="I3" i="2"/>
  <c r="I32" i="2"/>
  <c r="I12" i="2"/>
  <c r="I31" i="2"/>
  <c r="I21" i="2"/>
  <c r="I11" i="2"/>
  <c r="I30" i="2"/>
  <c r="I40" i="2"/>
  <c r="I20" i="2"/>
  <c r="I10" i="2"/>
  <c r="I29" i="2"/>
  <c r="I2" i="2"/>
</calcChain>
</file>

<file path=xl/sharedStrings.xml><?xml version="1.0" encoding="utf-8"?>
<sst xmlns="http://schemas.openxmlformats.org/spreadsheetml/2006/main" count="424" uniqueCount="157">
  <si>
    <t>Nro</t>
  </si>
  <si>
    <t>Vendedor</t>
  </si>
  <si>
    <t>País</t>
  </si>
  <si>
    <t>Zona</t>
  </si>
  <si>
    <t>Categoria</t>
  </si>
  <si>
    <t>Fecha</t>
  </si>
  <si>
    <t>Tipo de Pago</t>
  </si>
  <si>
    <t>Ventas</t>
  </si>
  <si>
    <t>Comisión</t>
  </si>
  <si>
    <t>Andrea Serna</t>
  </si>
  <si>
    <t>Chile</t>
  </si>
  <si>
    <t>Norte</t>
  </si>
  <si>
    <t>E</t>
  </si>
  <si>
    <t>Cheque</t>
  </si>
  <si>
    <t>Alex Rodriguez</t>
  </si>
  <si>
    <t>Argentina</t>
  </si>
  <si>
    <t>Centro</t>
  </si>
  <si>
    <t>C</t>
  </si>
  <si>
    <t>Tarjeta</t>
  </si>
  <si>
    <t>F</t>
  </si>
  <si>
    <t>Crédito</t>
  </si>
  <si>
    <t>Pablo Bonilla</t>
  </si>
  <si>
    <t>Perú</t>
  </si>
  <si>
    <t>Sur</t>
  </si>
  <si>
    <t>Efectivo</t>
  </si>
  <si>
    <t>Samuel Villa</t>
  </si>
  <si>
    <t>Colombia</t>
  </si>
  <si>
    <t>D</t>
  </si>
  <si>
    <t>Trasnferencia</t>
  </si>
  <si>
    <t>Oeste</t>
  </si>
  <si>
    <t>A</t>
  </si>
  <si>
    <t>B</t>
  </si>
  <si>
    <t>Milena Muñoz</t>
  </si>
  <si>
    <t>Bolivia</t>
  </si>
  <si>
    <t>Este</t>
  </si>
  <si>
    <t>Alvaro Vika</t>
  </si>
  <si>
    <t>Venezuela</t>
  </si>
  <si>
    <t>Susana Lemon</t>
  </si>
  <si>
    <t>Brasil</t>
  </si>
  <si>
    <t>Total Cheque</t>
  </si>
  <si>
    <t>Total Crédito</t>
  </si>
  <si>
    <t>Total Efectivo</t>
  </si>
  <si>
    <t>Total Tarjeta</t>
  </si>
  <si>
    <t>Total Trasnferencia</t>
  </si>
  <si>
    <t>Total general</t>
  </si>
  <si>
    <t>Promedio general</t>
  </si>
  <si>
    <t>Cuenta general</t>
  </si>
  <si>
    <t>Año</t>
  </si>
  <si>
    <t>Máx. 2006</t>
  </si>
  <si>
    <t>Máx. 2007</t>
  </si>
  <si>
    <t>Máx. 2008</t>
  </si>
  <si>
    <t>Máx. 2009</t>
  </si>
  <si>
    <t>Máx. 2010</t>
  </si>
  <si>
    <t>Máx. 2011</t>
  </si>
  <si>
    <t>Máx. 2012</t>
  </si>
  <si>
    <t>Máx. 2013</t>
  </si>
  <si>
    <t>Máx. 2014</t>
  </si>
  <si>
    <t>Máx. 2015</t>
  </si>
  <si>
    <t>Máx. 2016</t>
  </si>
  <si>
    <t>Máximo general</t>
  </si>
  <si>
    <t>Máx. A</t>
  </si>
  <si>
    <t>Máx. B</t>
  </si>
  <si>
    <t>Máx. C</t>
  </si>
  <si>
    <t>Máx. D</t>
  </si>
  <si>
    <t>Máx. E</t>
  </si>
  <si>
    <t>Máx. F</t>
  </si>
  <si>
    <t>Mín. A</t>
  </si>
  <si>
    <t>Mín. B</t>
  </si>
  <si>
    <t>Mín. C</t>
  </si>
  <si>
    <t>Mín. D</t>
  </si>
  <si>
    <t>Mín. E</t>
  </si>
  <si>
    <t>Mín. F</t>
  </si>
  <si>
    <t>Mínimo general</t>
  </si>
  <si>
    <t>Total Argentina</t>
  </si>
  <si>
    <t>Total Bolivia</t>
  </si>
  <si>
    <t>Total Brasil</t>
  </si>
  <si>
    <t>Total Chile</t>
  </si>
  <si>
    <t>Total Colombia</t>
  </si>
  <si>
    <t>Total Perú</t>
  </si>
  <si>
    <t>Total Venezuela</t>
  </si>
  <si>
    <t>Promedio Argentina</t>
  </si>
  <si>
    <t>Promedio Bolivia</t>
  </si>
  <si>
    <t>Promedio Brasil</t>
  </si>
  <si>
    <t>Promedio Chile</t>
  </si>
  <si>
    <t>Promedio Colombia</t>
  </si>
  <si>
    <t>Promedio Perú</t>
  </si>
  <si>
    <t>Promedio Venezuela</t>
  </si>
  <si>
    <t>Promedio Centro</t>
  </si>
  <si>
    <t>Promedio Este</t>
  </si>
  <si>
    <t>Promedio Norte</t>
  </si>
  <si>
    <t>Promedio Oeste</t>
  </si>
  <si>
    <t>Promedio Sur</t>
  </si>
  <si>
    <t>Cuenta Cheque</t>
  </si>
  <si>
    <t>Cuenta Crédito</t>
  </si>
  <si>
    <t>Cuenta Efectivo</t>
  </si>
  <si>
    <t>Cuenta Tarjeta</t>
  </si>
  <si>
    <t>Cuenta Trasnferencia</t>
  </si>
  <si>
    <t>Promedio Cheque</t>
  </si>
  <si>
    <t>Promedio Crédito</t>
  </si>
  <si>
    <t>Promedio Efectivo</t>
  </si>
  <si>
    <t>Promedio Tarjeta</t>
  </si>
  <si>
    <t>Promedio Trasnferencia</t>
  </si>
  <si>
    <t>Promedio 2006</t>
  </si>
  <si>
    <t>Promedio 2007</t>
  </si>
  <si>
    <t>Promedio 2008</t>
  </si>
  <si>
    <t>Promedio 2009</t>
  </si>
  <si>
    <t>Promedio 2010</t>
  </si>
  <si>
    <t>Promedio 2011</t>
  </si>
  <si>
    <t>Promedio 2012</t>
  </si>
  <si>
    <t>Promedio 2013</t>
  </si>
  <si>
    <t>Promedio 2014</t>
  </si>
  <si>
    <t>Promedio 2015</t>
  </si>
  <si>
    <t>Promedio 2016</t>
  </si>
  <si>
    <t>Cuenta 2006</t>
  </si>
  <si>
    <t>Cuenta 2007</t>
  </si>
  <si>
    <t>Cuenta 2008</t>
  </si>
  <si>
    <t>Cuenta 2009</t>
  </si>
  <si>
    <t>Cuenta 2010</t>
  </si>
  <si>
    <t>Cuenta 2011</t>
  </si>
  <si>
    <t>Cuenta 2012</t>
  </si>
  <si>
    <t>Cuenta 2013</t>
  </si>
  <si>
    <t>Cuenta 2014</t>
  </si>
  <si>
    <t>Cuenta 2015</t>
  </si>
  <si>
    <t>Cuenta 2016</t>
  </si>
  <si>
    <t>Total 2006</t>
  </si>
  <si>
    <t>Total 2007</t>
  </si>
  <si>
    <t>Total 2008</t>
  </si>
  <si>
    <t>Total 2009</t>
  </si>
  <si>
    <t>Total 2010</t>
  </si>
  <si>
    <t>Total 2011</t>
  </si>
  <si>
    <t>Total 2012</t>
  </si>
  <si>
    <t>Total 2013</t>
  </si>
  <si>
    <t>Total 2014</t>
  </si>
  <si>
    <t>Total 2015</t>
  </si>
  <si>
    <t>Total 2016</t>
  </si>
  <si>
    <t>Mín. 2006</t>
  </si>
  <si>
    <t>Mín. 2007</t>
  </si>
  <si>
    <t>Mín. 2008</t>
  </si>
  <si>
    <t>Mín. 2009</t>
  </si>
  <si>
    <t>Mín. 2010</t>
  </si>
  <si>
    <t>Mín. 2011</t>
  </si>
  <si>
    <t>Mín. 2012</t>
  </si>
  <si>
    <t>Mín. 2013</t>
  </si>
  <si>
    <t>Mín. 2014</t>
  </si>
  <si>
    <t>Mín. 2015</t>
  </si>
  <si>
    <t>Mín. 2016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</si>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</sst>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yy;@"/>
    <numFmt numFmtId="165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rgb="FF0070C0"/>
      </left>
      <right style="hair">
        <color rgb="FF0070C0"/>
      </right>
      <top style="hair">
        <color rgb="FF0070C0"/>
      </top>
      <bottom style="hair">
        <color rgb="FF0070C0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/>
    <xf numFmtId="37" fontId="2" fillId="0" borderId="1" xfId="1" applyNumberFormat="1" applyFont="1" applyBorder="1"/>
    <xf numFmtId="0" fontId="4" fillId="0" borderId="1" xfId="0" applyFont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37" fontId="2" fillId="0" borderId="0" xfId="1" applyNumberFormat="1" applyFont="1" applyBorder="1"/>
    <xf numFmtId="164" fontId="5" fillId="0" borderId="0" xfId="0" applyNumberFormat="1" applyFont="1"/>
    <xf numFmtId="0" fontId="2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/>
    <xf numFmtId="37" fontId="2" fillId="5" borderId="1" xfId="1" applyNumberFormat="1" applyFont="1" applyFill="1" applyBorder="1"/>
    <xf numFmtId="0" fontId="2" fillId="5" borderId="0" xfId="0" applyFont="1" applyFill="1" applyAlignment="1">
      <alignment horizontal="center" vertical="center"/>
    </xf>
    <xf numFmtId="164" fontId="5" fillId="5" borderId="0" xfId="0" applyNumberFormat="1" applyFont="1" applyFill="1"/>
    <xf numFmtId="37" fontId="2" fillId="5" borderId="0" xfId="1" applyNumberFormat="1" applyFont="1" applyFill="1" applyBorder="1"/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0" borderId="1" xfId="0" applyFont="1" applyBorder="1"/>
    <xf numFmtId="0" fontId="5" fillId="0" borderId="0" xfId="0" applyFont="1"/>
    <xf numFmtId="0" fontId="5" fillId="5" borderId="1" xfId="0" applyFont="1" applyFill="1" applyBorder="1"/>
    <xf numFmtId="0" fontId="5" fillId="5" borderId="0" xfId="0" applyFont="1" applyFill="1"/>
    <xf numFmtId="0" fontId="6" fillId="0" borderId="0" xfId="0" applyFont="1"/>
    <xf numFmtId="0" fontId="6" fillId="5" borderId="1" xfId="0" applyFont="1" applyFill="1" applyBorder="1"/>
    <xf numFmtId="0" fontId="6" fillId="5" borderId="0" xfId="0" applyFont="1" applyFill="1"/>
    <xf numFmtId="0" fontId="2" fillId="0" borderId="0" xfId="1" applyNumberFormat="1" applyFont="1" applyBorder="1"/>
    <xf numFmtId="0" fontId="2" fillId="5" borderId="0" xfId="1" applyNumberFormat="1" applyFont="1" applyFill="1" applyBorder="1"/>
    <xf numFmtId="0" fontId="2" fillId="5" borderId="1" xfId="1" applyNumberFormat="1" applyFont="1" applyFill="1" applyBorder="1"/>
    <xf numFmtId="49" fontId="5" fillId="0" borderId="1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0D914868-3EC0-408C-B125-F4E842B064E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'R1'!$C$2</c:f>
              <c:strCache>
                <c:ptCount val="1"/>
                <c:pt idx="0">
                  <c:v>Ventas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79A0-47D0-A1C4-EEE2F83AC5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79A0-47D0-A1C4-EEE2F83AC5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79A0-47D0-A1C4-EEE2F83AC5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79A0-47D0-A1C4-EEE2F83AC5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79A0-47D0-A1C4-EEE2F83AC5C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9A0-47D0-A1C4-EEE2F83AC5C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79A0-47D0-A1C4-EEE2F83AC5C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9A0-47D0-A1C4-EEE2F83AC5C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79A0-47D0-A1C4-EEE2F83AC5C3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419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79A0-47D0-A1C4-EEE2F83AC5C3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'R1'!$B$3:$B$7</c:f>
              <c:strCache>
                <c:ptCount val="5"/>
                <c:pt idx="0">
                  <c:v>Cheque</c:v>
                </c:pt>
                <c:pt idx="1">
                  <c:v>Crédito</c:v>
                </c:pt>
                <c:pt idx="2">
                  <c:v>Efectivo</c:v>
                </c:pt>
                <c:pt idx="3">
                  <c:v>Tarjeta</c:v>
                </c:pt>
                <c:pt idx="4">
                  <c:v>Trasnferencia</c:v>
                </c:pt>
              </c:strCache>
            </c:strRef>
          </c:cat>
          <c:val>
            <c:numRef>
              <c:f>'R1'!$C$3:$C$7</c:f>
              <c:numCache>
                <c:formatCode>#,##0_);\(#,##0\)</c:formatCode>
                <c:ptCount val="5"/>
                <c:pt idx="0">
                  <c:v>201700</c:v>
                </c:pt>
                <c:pt idx="1">
                  <c:v>350100</c:v>
                </c:pt>
                <c:pt idx="2">
                  <c:v>308700</c:v>
                </c:pt>
                <c:pt idx="3">
                  <c:v>328100</c:v>
                </c:pt>
                <c:pt idx="4">
                  <c:v>296000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A0-47D0-A1C4-EEE2F83AC5C3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'R4'!$C$2</c:f>
              <c:strCache>
                <c:ptCount val="1"/>
                <c:pt idx="0">
                  <c:v>Ventas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'R4'!$B$3:$B$13</c:f>
              <c:strCach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strCache>
            </c:strRef>
          </c:cat>
          <c:val>
            <c:numRef>
              <c:f>'R4'!$C$3:$C$13</c:f>
              <c:numCache>
                <c:formatCode>#,##0_);\(#,##0\)</c:formatCode>
                <c:ptCount val="11"/>
                <c:pt idx="0">
                  <c:v>35000</c:v>
                </c:pt>
                <c:pt idx="1">
                  <c:v>45000</c:v>
                </c:pt>
                <c:pt idx="2">
                  <c:v>42000</c:v>
                </c:pt>
                <c:pt idx="3">
                  <c:v>48900</c:v>
                </c:pt>
                <c:pt idx="4">
                  <c:v>48900</c:v>
                </c:pt>
                <c:pt idx="5">
                  <c:v>45000</c:v>
                </c:pt>
                <c:pt idx="6">
                  <c:v>32500</c:v>
                </c:pt>
                <c:pt idx="7">
                  <c:v>39000</c:v>
                </c:pt>
                <c:pt idx="8">
                  <c:v>39000</c:v>
                </c:pt>
                <c:pt idx="9">
                  <c:v>42000</c:v>
                </c:pt>
                <c:pt idx="10">
                  <c:v>18100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54-4BD7-9F9F-70D88ECF3F1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11863887"/>
        <c:axId val="1911865551"/>
      </c:barChart>
      <c:catAx>
        <c:axId val="191186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911865551"/>
        <c:crosses val="autoZero"/>
        <c:auto val="1"/>
        <c:lblAlgn val="ctr"/>
        <c:lblOffset val="100"/>
        <c:noMultiLvlLbl val="0"/>
      </c:catAx>
      <c:valAx>
        <c:axId val="191186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91186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753341</xdr:colOff>
      <xdr:row>3</xdr:row>
      <xdr:rowOff>91787</xdr:rowOff>
    </xdr:from>
    <xdr:to>
      <xdr:col>9</xdr:col>
      <xdr:colOff>753341</xdr:colOff>
      <xdr:row>17</xdr:row>
      <xdr:rowOff>124691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752474</xdr:colOff>
      <xdr:row>0</xdr:row>
      <xdr:rowOff>19050</xdr:rowOff>
    </xdr:from>
    <xdr:to>
      <xdr:col>13</xdr:col>
      <xdr:colOff>752475</xdr:colOff>
      <xdr:row>18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Metro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autoPageBreaks="0"/>
  </sheetPr>
  <dimension ref="A1:L49"/>
  <sheetViews>
    <sheetView showGridLines="0" tabSelected="1" zoomScaleNormal="100" zoomScalePageLayoutView="85" workbookViewId="0">
      <selection activeCell="H18" sqref="H18"/>
    </sheetView>
  </sheetViews>
  <sheetFormatPr baseColWidth="10" defaultRowHeight="15.75" x14ac:dyDescent="0.25"/>
  <cols>
    <col min="1" max="1" width="4.7109375" style="1" bestFit="1" customWidth="1"/>
    <col min="2" max="2" width="19.85546875" style="1" customWidth="1"/>
    <col min="3" max="3" width="10.5703125" style="1" bestFit="1" customWidth="1"/>
    <col min="4" max="4" width="7.140625" style="1" bestFit="1" customWidth="1"/>
    <col min="5" max="5" width="10.28515625" style="1" bestFit="1" customWidth="1"/>
    <col min="6" max="6" width="11.85546875" style="1" bestFit="1" customWidth="1"/>
    <col min="7" max="7" width="19.85546875" style="1" bestFit="1" customWidth="1"/>
    <col min="8" max="8" width="10.140625" style="1" bestFit="1" customWidth="1"/>
    <col min="9" max="9" width="9.85546875" style="1" bestFit="1" customWidth="1"/>
    <col min="10" max="16384" width="11.425781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8" t="s">
        <v>6</v>
      </c>
      <c r="H1" s="8" t="s">
        <v>7</v>
      </c>
      <c r="I1" s="2" t="s">
        <v>8</v>
      </c>
      <c r="K1"/>
    </row>
    <row r="2" spans="1:12" x14ac:dyDescent="0.25">
      <c r="A2" s="3">
        <v>1</v>
      </c>
      <c r="B2" s="3" t="s">
        <v>9</v>
      </c>
      <c r="C2" s="3" t="s">
        <v>10</v>
      </c>
      <c r="D2" s="3" t="s">
        <v>11</v>
      </c>
      <c r="E2" s="4" t="s">
        <v>12</v>
      </c>
      <c r="F2" s="5">
        <v>40245</v>
      </c>
      <c r="G2" s="5" t="s">
        <v>13</v>
      </c>
      <c r="H2" s="6">
        <v>20000</v>
      </c>
      <c r="I2" s="6">
        <f t="shared" ref="I2:I9" si="0">H2*3%</f>
        <v>600</v>
      </c>
      <c r="K2"/>
      <c r="L2"/>
    </row>
    <row r="3" spans="1:12" x14ac:dyDescent="0.25">
      <c r="A3" s="3">
        <v>12</v>
      </c>
      <c r="B3" s="3" t="s">
        <v>14</v>
      </c>
      <c r="C3" s="3" t="s">
        <v>15</v>
      </c>
      <c r="D3" s="3" t="s">
        <v>23</v>
      </c>
      <c r="E3" s="4" t="s">
        <v>17</v>
      </c>
      <c r="F3" s="5">
        <v>40893</v>
      </c>
      <c r="G3" s="5" t="s">
        <v>13</v>
      </c>
      <c r="H3" s="6">
        <v>12000</v>
      </c>
      <c r="I3" s="6">
        <f t="shared" si="0"/>
        <v>360</v>
      </c>
      <c r="K3"/>
      <c r="L3"/>
    </row>
    <row r="4" spans="1:12" x14ac:dyDescent="0.25">
      <c r="A4" s="3">
        <v>24</v>
      </c>
      <c r="B4" s="3" t="s">
        <v>14</v>
      </c>
      <c r="C4" s="3" t="s">
        <v>15</v>
      </c>
      <c r="D4" s="3" t="s">
        <v>34</v>
      </c>
      <c r="E4" s="4" t="s">
        <v>17</v>
      </c>
      <c r="F4" s="5">
        <v>39917</v>
      </c>
      <c r="G4" s="5" t="s">
        <v>13</v>
      </c>
      <c r="H4" s="6">
        <v>42000</v>
      </c>
      <c r="I4" s="6">
        <f t="shared" si="0"/>
        <v>1260</v>
      </c>
      <c r="K4"/>
      <c r="L4"/>
    </row>
    <row r="5" spans="1:12" x14ac:dyDescent="0.25">
      <c r="A5" s="3">
        <v>26</v>
      </c>
      <c r="B5" s="3" t="s">
        <v>9</v>
      </c>
      <c r="C5" s="3" t="s">
        <v>10</v>
      </c>
      <c r="D5" s="3" t="s">
        <v>34</v>
      </c>
      <c r="E5" s="4" t="s">
        <v>19</v>
      </c>
      <c r="F5" s="5">
        <v>41308</v>
      </c>
      <c r="G5" s="5" t="s">
        <v>13</v>
      </c>
      <c r="H5" s="6">
        <v>12000</v>
      </c>
      <c r="I5" s="6">
        <f t="shared" si="0"/>
        <v>360</v>
      </c>
      <c r="K5"/>
      <c r="L5"/>
    </row>
    <row r="6" spans="1:12" x14ac:dyDescent="0.25">
      <c r="A6" s="3">
        <v>28</v>
      </c>
      <c r="B6" s="3" t="s">
        <v>9</v>
      </c>
      <c r="C6" s="3" t="s">
        <v>10</v>
      </c>
      <c r="D6" s="3" t="s">
        <v>29</v>
      </c>
      <c r="E6" s="4" t="s">
        <v>27</v>
      </c>
      <c r="F6" s="5">
        <v>38749</v>
      </c>
      <c r="G6" s="5" t="s">
        <v>13</v>
      </c>
      <c r="H6" s="6">
        <v>35000</v>
      </c>
      <c r="I6" s="6">
        <f t="shared" si="0"/>
        <v>1050</v>
      </c>
      <c r="K6"/>
      <c r="L6"/>
    </row>
    <row r="7" spans="1:12" x14ac:dyDescent="0.25">
      <c r="A7" s="3">
        <v>35</v>
      </c>
      <c r="B7" s="7" t="s">
        <v>21</v>
      </c>
      <c r="C7" s="3" t="s">
        <v>22</v>
      </c>
      <c r="D7" s="3" t="s">
        <v>29</v>
      </c>
      <c r="E7" s="4" t="s">
        <v>17</v>
      </c>
      <c r="F7" s="5">
        <v>40368</v>
      </c>
      <c r="G7" s="5" t="s">
        <v>13</v>
      </c>
      <c r="H7" s="6">
        <v>29000</v>
      </c>
      <c r="I7" s="6">
        <f t="shared" si="0"/>
        <v>870</v>
      </c>
      <c r="K7"/>
      <c r="L7"/>
    </row>
    <row r="8" spans="1:12" x14ac:dyDescent="0.25">
      <c r="A8" s="3">
        <v>38</v>
      </c>
      <c r="B8" s="7" t="s">
        <v>21</v>
      </c>
      <c r="C8" s="3" t="s">
        <v>22</v>
      </c>
      <c r="D8" s="3" t="s">
        <v>34</v>
      </c>
      <c r="E8" s="4" t="s">
        <v>17</v>
      </c>
      <c r="F8" s="5">
        <v>42132</v>
      </c>
      <c r="G8" s="5" t="s">
        <v>13</v>
      </c>
      <c r="H8" s="6">
        <v>19200</v>
      </c>
      <c r="I8" s="6">
        <f t="shared" si="0"/>
        <v>576</v>
      </c>
      <c r="K8"/>
      <c r="L8"/>
    </row>
    <row r="9" spans="1:12" x14ac:dyDescent="0.25">
      <c r="A9" s="3">
        <v>48</v>
      </c>
      <c r="B9" s="7" t="s">
        <v>37</v>
      </c>
      <c r="C9" s="3" t="s">
        <v>38</v>
      </c>
      <c r="D9" s="3" t="s">
        <v>16</v>
      </c>
      <c r="E9" s="4" t="s">
        <v>19</v>
      </c>
      <c r="F9" s="5">
        <v>40494</v>
      </c>
      <c r="G9" s="5" t="s">
        <v>13</v>
      </c>
      <c r="H9" s="6">
        <v>32500</v>
      </c>
      <c r="I9" s="6">
        <f t="shared" si="0"/>
        <v>975</v>
      </c>
      <c r="K9"/>
      <c r="L9"/>
    </row>
    <row r="10" spans="1:12" x14ac:dyDescent="0.25">
      <c r="A10" s="3">
        <v>3</v>
      </c>
      <c r="B10" s="3" t="s">
        <v>9</v>
      </c>
      <c r="C10" s="3" t="s">
        <v>10</v>
      </c>
      <c r="D10" s="3" t="s">
        <v>11</v>
      </c>
      <c r="E10" s="4" t="s">
        <v>19</v>
      </c>
      <c r="F10" s="5">
        <v>40930</v>
      </c>
      <c r="G10" s="5" t="s">
        <v>20</v>
      </c>
      <c r="H10" s="6">
        <v>32500</v>
      </c>
      <c r="I10" s="6">
        <f t="shared" ref="I10:I19" si="1">H10*3%</f>
        <v>975</v>
      </c>
      <c r="K10"/>
      <c r="L10"/>
    </row>
    <row r="11" spans="1:12" x14ac:dyDescent="0.25">
      <c r="A11" s="3">
        <v>7</v>
      </c>
      <c r="B11" s="7" t="s">
        <v>21</v>
      </c>
      <c r="C11" s="3" t="s">
        <v>22</v>
      </c>
      <c r="D11" s="3" t="s">
        <v>23</v>
      </c>
      <c r="E11" s="4" t="s">
        <v>12</v>
      </c>
      <c r="F11" s="5">
        <v>39881</v>
      </c>
      <c r="G11" s="5" t="s">
        <v>20</v>
      </c>
      <c r="H11" s="6">
        <v>48900</v>
      </c>
      <c r="I11" s="6">
        <f t="shared" si="1"/>
        <v>1467</v>
      </c>
      <c r="K11"/>
      <c r="L11"/>
    </row>
    <row r="12" spans="1:12" x14ac:dyDescent="0.25">
      <c r="A12" s="3">
        <v>10</v>
      </c>
      <c r="B12" s="7" t="s">
        <v>21</v>
      </c>
      <c r="C12" s="3" t="s">
        <v>22</v>
      </c>
      <c r="D12" s="3" t="s">
        <v>23</v>
      </c>
      <c r="E12" s="4" t="s">
        <v>31</v>
      </c>
      <c r="F12" s="5">
        <v>41862</v>
      </c>
      <c r="G12" s="5" t="s">
        <v>20</v>
      </c>
      <c r="H12" s="6">
        <v>39000</v>
      </c>
      <c r="I12" s="6">
        <f t="shared" si="1"/>
        <v>1170</v>
      </c>
      <c r="K12"/>
      <c r="L12"/>
    </row>
    <row r="13" spans="1:12" x14ac:dyDescent="0.25">
      <c r="A13" s="3">
        <v>15</v>
      </c>
      <c r="B13" s="7" t="s">
        <v>25</v>
      </c>
      <c r="C13" s="3" t="s">
        <v>26</v>
      </c>
      <c r="D13" s="3" t="s">
        <v>34</v>
      </c>
      <c r="E13" s="4" t="s">
        <v>17</v>
      </c>
      <c r="F13" s="5">
        <v>39442</v>
      </c>
      <c r="G13" s="5" t="s">
        <v>20</v>
      </c>
      <c r="H13" s="6">
        <v>41000</v>
      </c>
      <c r="I13" s="6">
        <f t="shared" si="1"/>
        <v>1230</v>
      </c>
      <c r="K13"/>
      <c r="L13"/>
    </row>
    <row r="14" spans="1:12" x14ac:dyDescent="0.25">
      <c r="A14" s="3">
        <v>23</v>
      </c>
      <c r="B14" s="3" t="s">
        <v>14</v>
      </c>
      <c r="C14" s="3" t="s">
        <v>15</v>
      </c>
      <c r="D14" s="3" t="s">
        <v>23</v>
      </c>
      <c r="E14" s="4" t="s">
        <v>27</v>
      </c>
      <c r="F14" s="5">
        <v>41821</v>
      </c>
      <c r="G14" s="5" t="s">
        <v>20</v>
      </c>
      <c r="H14" s="6">
        <v>19200</v>
      </c>
      <c r="I14" s="6">
        <f t="shared" si="1"/>
        <v>576</v>
      </c>
      <c r="K14"/>
      <c r="L14"/>
    </row>
    <row r="15" spans="1:12" x14ac:dyDescent="0.25">
      <c r="A15" s="3">
        <v>27</v>
      </c>
      <c r="B15" s="7" t="s">
        <v>21</v>
      </c>
      <c r="C15" s="3" t="s">
        <v>22</v>
      </c>
      <c r="D15" s="3" t="s">
        <v>29</v>
      </c>
      <c r="E15" s="4" t="s">
        <v>30</v>
      </c>
      <c r="F15" s="5">
        <v>41180</v>
      </c>
      <c r="G15" s="5" t="s">
        <v>20</v>
      </c>
      <c r="H15" s="6">
        <v>12000</v>
      </c>
      <c r="I15" s="6">
        <f t="shared" si="1"/>
        <v>360</v>
      </c>
      <c r="K15"/>
      <c r="L15"/>
    </row>
    <row r="16" spans="1:12" x14ac:dyDescent="0.25">
      <c r="A16" s="3">
        <v>29</v>
      </c>
      <c r="B16" s="7" t="s">
        <v>25</v>
      </c>
      <c r="C16" s="3" t="s">
        <v>26</v>
      </c>
      <c r="D16" s="3" t="s">
        <v>29</v>
      </c>
      <c r="E16" s="4" t="s">
        <v>31</v>
      </c>
      <c r="F16" s="5">
        <v>39219</v>
      </c>
      <c r="G16" s="5" t="s">
        <v>20</v>
      </c>
      <c r="H16" s="6">
        <v>45000</v>
      </c>
      <c r="I16" s="6">
        <f t="shared" si="1"/>
        <v>1350</v>
      </c>
      <c r="K16"/>
      <c r="L16"/>
    </row>
    <row r="17" spans="1:12" x14ac:dyDescent="0.25">
      <c r="A17" s="3">
        <v>30</v>
      </c>
      <c r="B17" s="7" t="s">
        <v>37</v>
      </c>
      <c r="C17" s="3" t="s">
        <v>38</v>
      </c>
      <c r="D17" s="3" t="s">
        <v>23</v>
      </c>
      <c r="E17" s="4" t="s">
        <v>17</v>
      </c>
      <c r="F17" s="5">
        <v>39156</v>
      </c>
      <c r="G17" s="5" t="s">
        <v>20</v>
      </c>
      <c r="H17" s="6">
        <v>41000</v>
      </c>
      <c r="I17" s="6">
        <f t="shared" si="1"/>
        <v>1230</v>
      </c>
      <c r="L17"/>
    </row>
    <row r="18" spans="1:12" x14ac:dyDescent="0.25">
      <c r="A18" s="3">
        <v>33</v>
      </c>
      <c r="B18" s="3" t="s">
        <v>14</v>
      </c>
      <c r="C18" s="3" t="s">
        <v>15</v>
      </c>
      <c r="D18" s="3" t="s">
        <v>34</v>
      </c>
      <c r="E18" s="4" t="s">
        <v>12</v>
      </c>
      <c r="F18" s="5">
        <v>42075</v>
      </c>
      <c r="G18" s="5" t="s">
        <v>20</v>
      </c>
      <c r="H18" s="6">
        <v>32500</v>
      </c>
      <c r="I18" s="6">
        <f t="shared" si="1"/>
        <v>975</v>
      </c>
      <c r="L18"/>
    </row>
    <row r="19" spans="1:12" x14ac:dyDescent="0.25">
      <c r="A19" s="3">
        <v>40</v>
      </c>
      <c r="B19" s="3" t="s">
        <v>32</v>
      </c>
      <c r="C19" s="3" t="s">
        <v>33</v>
      </c>
      <c r="D19" s="3" t="s">
        <v>23</v>
      </c>
      <c r="E19" s="4" t="s">
        <v>27</v>
      </c>
      <c r="F19" s="5">
        <v>39264</v>
      </c>
      <c r="G19" s="5" t="s">
        <v>20</v>
      </c>
      <c r="H19" s="6">
        <v>39000</v>
      </c>
      <c r="I19" s="6">
        <f t="shared" si="1"/>
        <v>1170</v>
      </c>
      <c r="L19"/>
    </row>
    <row r="20" spans="1:12" x14ac:dyDescent="0.25">
      <c r="A20" s="3">
        <v>4</v>
      </c>
      <c r="B20" s="7" t="s">
        <v>21</v>
      </c>
      <c r="C20" s="3" t="s">
        <v>22</v>
      </c>
      <c r="D20" s="3" t="s">
        <v>23</v>
      </c>
      <c r="E20" s="4" t="s">
        <v>12</v>
      </c>
      <c r="F20" s="5">
        <v>42310</v>
      </c>
      <c r="G20" s="5" t="s">
        <v>24</v>
      </c>
      <c r="H20" s="6">
        <v>37000</v>
      </c>
      <c r="I20" s="6">
        <f t="shared" ref="I20:I28" si="2">H20*3%</f>
        <v>1110</v>
      </c>
    </row>
    <row r="21" spans="1:12" x14ac:dyDescent="0.25">
      <c r="A21" s="3">
        <v>8</v>
      </c>
      <c r="B21" s="7" t="s">
        <v>25</v>
      </c>
      <c r="C21" s="3" t="s">
        <v>26</v>
      </c>
      <c r="D21" s="3" t="s">
        <v>29</v>
      </c>
      <c r="E21" s="4" t="s">
        <v>17</v>
      </c>
      <c r="F21" s="5">
        <v>42056</v>
      </c>
      <c r="G21" s="5" t="s">
        <v>24</v>
      </c>
      <c r="H21" s="6">
        <v>19200</v>
      </c>
      <c r="I21" s="6">
        <f t="shared" si="2"/>
        <v>576</v>
      </c>
    </row>
    <row r="22" spans="1:12" x14ac:dyDescent="0.25">
      <c r="A22" s="3">
        <v>13</v>
      </c>
      <c r="B22" s="3" t="s">
        <v>32</v>
      </c>
      <c r="C22" s="3" t="s">
        <v>33</v>
      </c>
      <c r="D22" s="3" t="s">
        <v>34</v>
      </c>
      <c r="E22" s="4" t="s">
        <v>12</v>
      </c>
      <c r="F22" s="5">
        <v>41525</v>
      </c>
      <c r="G22" s="5" t="s">
        <v>24</v>
      </c>
      <c r="H22" s="6">
        <v>35000</v>
      </c>
      <c r="I22" s="6">
        <f t="shared" si="2"/>
        <v>1050</v>
      </c>
    </row>
    <row r="23" spans="1:12" x14ac:dyDescent="0.25">
      <c r="A23" s="3">
        <v>18</v>
      </c>
      <c r="B23" s="3" t="s">
        <v>32</v>
      </c>
      <c r="C23" s="3" t="s">
        <v>33</v>
      </c>
      <c r="D23" s="3" t="s">
        <v>29</v>
      </c>
      <c r="E23" s="4" t="s">
        <v>27</v>
      </c>
      <c r="F23" s="5">
        <v>41226</v>
      </c>
      <c r="G23" s="5" t="s">
        <v>24</v>
      </c>
      <c r="H23" s="6">
        <v>32500</v>
      </c>
      <c r="I23" s="6">
        <f t="shared" si="2"/>
        <v>975</v>
      </c>
    </row>
    <row r="24" spans="1:12" x14ac:dyDescent="0.25">
      <c r="A24" s="3">
        <v>19</v>
      </c>
      <c r="B24" s="3" t="s">
        <v>35</v>
      </c>
      <c r="C24" s="3" t="s">
        <v>36</v>
      </c>
      <c r="D24" s="3" t="s">
        <v>11</v>
      </c>
      <c r="E24" s="4" t="s">
        <v>12</v>
      </c>
      <c r="F24" s="5">
        <v>39185</v>
      </c>
      <c r="G24" s="5" t="s">
        <v>24</v>
      </c>
      <c r="H24" s="6">
        <v>37000</v>
      </c>
      <c r="I24" s="6">
        <f t="shared" si="2"/>
        <v>1110</v>
      </c>
    </row>
    <row r="25" spans="1:12" x14ac:dyDescent="0.25">
      <c r="A25" s="3">
        <v>21</v>
      </c>
      <c r="B25" s="7" t="s">
        <v>21</v>
      </c>
      <c r="C25" s="3" t="s">
        <v>22</v>
      </c>
      <c r="D25" s="3" t="s">
        <v>29</v>
      </c>
      <c r="E25" s="4" t="s">
        <v>17</v>
      </c>
      <c r="F25" s="5">
        <v>42493</v>
      </c>
      <c r="G25" s="5" t="s">
        <v>24</v>
      </c>
      <c r="H25" s="6">
        <v>18100</v>
      </c>
      <c r="I25" s="6">
        <f t="shared" si="2"/>
        <v>543</v>
      </c>
    </row>
    <row r="26" spans="1:12" x14ac:dyDescent="0.25">
      <c r="A26" s="3">
        <v>22</v>
      </c>
      <c r="B26" s="7" t="s">
        <v>21</v>
      </c>
      <c r="C26" s="3" t="s">
        <v>22</v>
      </c>
      <c r="D26" s="3" t="s">
        <v>34</v>
      </c>
      <c r="E26" s="4" t="s">
        <v>12</v>
      </c>
      <c r="F26" s="5">
        <v>40512</v>
      </c>
      <c r="G26" s="5" t="s">
        <v>24</v>
      </c>
      <c r="H26" s="6">
        <v>48900</v>
      </c>
      <c r="I26" s="6">
        <f t="shared" si="2"/>
        <v>1467</v>
      </c>
    </row>
    <row r="27" spans="1:12" x14ac:dyDescent="0.25">
      <c r="A27" s="3">
        <v>25</v>
      </c>
      <c r="B27" s="3" t="s">
        <v>14</v>
      </c>
      <c r="C27" s="3" t="s">
        <v>15</v>
      </c>
      <c r="D27" s="3" t="s">
        <v>34</v>
      </c>
      <c r="E27" s="4" t="s">
        <v>30</v>
      </c>
      <c r="F27" s="5">
        <v>41284</v>
      </c>
      <c r="G27" s="5" t="s">
        <v>24</v>
      </c>
      <c r="H27" s="6">
        <v>39000</v>
      </c>
      <c r="I27" s="6">
        <f t="shared" si="2"/>
        <v>1170</v>
      </c>
    </row>
    <row r="28" spans="1:12" x14ac:dyDescent="0.25">
      <c r="A28" s="3">
        <v>39</v>
      </c>
      <c r="B28" s="7" t="s">
        <v>21</v>
      </c>
      <c r="C28" s="3" t="s">
        <v>22</v>
      </c>
      <c r="D28" s="3" t="s">
        <v>23</v>
      </c>
      <c r="E28" s="4" t="s">
        <v>27</v>
      </c>
      <c r="F28" s="5">
        <v>39781</v>
      </c>
      <c r="G28" s="5" t="s">
        <v>24</v>
      </c>
      <c r="H28" s="6">
        <v>42000</v>
      </c>
      <c r="I28" s="6">
        <f t="shared" si="2"/>
        <v>1260</v>
      </c>
    </row>
    <row r="29" spans="1:12" x14ac:dyDescent="0.25">
      <c r="A29" s="3">
        <v>2</v>
      </c>
      <c r="B29" s="3" t="s">
        <v>14</v>
      </c>
      <c r="C29" s="3" t="s">
        <v>15</v>
      </c>
      <c r="D29" s="3" t="s">
        <v>16</v>
      </c>
      <c r="E29" s="4" t="s">
        <v>17</v>
      </c>
      <c r="F29" s="5">
        <v>40088</v>
      </c>
      <c r="G29" s="5" t="s">
        <v>18</v>
      </c>
      <c r="H29" s="6">
        <v>35000</v>
      </c>
      <c r="I29" s="6">
        <f t="shared" ref="I29:I39" si="3">H29*3%</f>
        <v>1050</v>
      </c>
    </row>
    <row r="30" spans="1:12" x14ac:dyDescent="0.25">
      <c r="A30" s="3">
        <v>6</v>
      </c>
      <c r="B30" s="7" t="s">
        <v>21</v>
      </c>
      <c r="C30" s="3" t="s">
        <v>22</v>
      </c>
      <c r="D30" s="3" t="s">
        <v>29</v>
      </c>
      <c r="E30" s="4" t="s">
        <v>30</v>
      </c>
      <c r="F30" s="5">
        <v>39736</v>
      </c>
      <c r="G30" s="5" t="s">
        <v>18</v>
      </c>
      <c r="H30" s="6">
        <v>18100</v>
      </c>
      <c r="I30" s="6">
        <f t="shared" si="3"/>
        <v>543</v>
      </c>
    </row>
    <row r="31" spans="1:12" x14ac:dyDescent="0.25">
      <c r="A31" s="3">
        <v>9</v>
      </c>
      <c r="B31" s="7" t="s">
        <v>25</v>
      </c>
      <c r="C31" s="3" t="s">
        <v>26</v>
      </c>
      <c r="D31" s="3" t="s">
        <v>11</v>
      </c>
      <c r="E31" s="4" t="s">
        <v>27</v>
      </c>
      <c r="F31" s="5">
        <v>42154</v>
      </c>
      <c r="G31" s="5" t="s">
        <v>18</v>
      </c>
      <c r="H31" s="6">
        <v>42000</v>
      </c>
      <c r="I31" s="6">
        <f t="shared" si="3"/>
        <v>1260</v>
      </c>
    </row>
    <row r="32" spans="1:12" x14ac:dyDescent="0.25">
      <c r="A32" s="3">
        <v>11</v>
      </c>
      <c r="B32" s="3" t="s">
        <v>14</v>
      </c>
      <c r="C32" s="3" t="s">
        <v>15</v>
      </c>
      <c r="D32" s="3" t="s">
        <v>29</v>
      </c>
      <c r="E32" s="4" t="s">
        <v>19</v>
      </c>
      <c r="F32" s="5">
        <v>40787</v>
      </c>
      <c r="G32" s="5" t="s">
        <v>18</v>
      </c>
      <c r="H32" s="6">
        <v>12000</v>
      </c>
      <c r="I32" s="6">
        <f t="shared" si="3"/>
        <v>360</v>
      </c>
    </row>
    <row r="33" spans="1:9" x14ac:dyDescent="0.25">
      <c r="A33" s="3">
        <v>17</v>
      </c>
      <c r="B33" s="3" t="s">
        <v>35</v>
      </c>
      <c r="C33" s="3" t="s">
        <v>36</v>
      </c>
      <c r="D33" s="3" t="s">
        <v>23</v>
      </c>
      <c r="E33" s="4" t="s">
        <v>19</v>
      </c>
      <c r="F33" s="5">
        <v>39936</v>
      </c>
      <c r="G33" s="5" t="s">
        <v>18</v>
      </c>
      <c r="H33" s="6">
        <v>35000</v>
      </c>
      <c r="I33" s="6">
        <f t="shared" si="3"/>
        <v>1050</v>
      </c>
    </row>
    <row r="34" spans="1:9" x14ac:dyDescent="0.25">
      <c r="A34" s="3">
        <v>34</v>
      </c>
      <c r="B34" s="7" t="s">
        <v>21</v>
      </c>
      <c r="C34" s="3" t="s">
        <v>22</v>
      </c>
      <c r="D34" s="3" t="s">
        <v>11</v>
      </c>
      <c r="E34" s="4" t="s">
        <v>12</v>
      </c>
      <c r="F34" s="5">
        <v>40590</v>
      </c>
      <c r="G34" s="5" t="s">
        <v>18</v>
      </c>
      <c r="H34" s="6">
        <v>37000</v>
      </c>
      <c r="I34" s="6">
        <f t="shared" si="3"/>
        <v>1110</v>
      </c>
    </row>
    <row r="35" spans="1:9" x14ac:dyDescent="0.25">
      <c r="A35" s="3">
        <v>36</v>
      </c>
      <c r="B35" s="3" t="s">
        <v>32</v>
      </c>
      <c r="C35" s="3" t="s">
        <v>33</v>
      </c>
      <c r="D35" s="3" t="s">
        <v>29</v>
      </c>
      <c r="E35" s="4" t="s">
        <v>27</v>
      </c>
      <c r="F35" s="5">
        <v>39210</v>
      </c>
      <c r="G35" s="5" t="s">
        <v>18</v>
      </c>
      <c r="H35" s="6">
        <v>18100</v>
      </c>
      <c r="I35" s="6">
        <f t="shared" si="3"/>
        <v>543</v>
      </c>
    </row>
    <row r="36" spans="1:9" x14ac:dyDescent="0.25">
      <c r="A36" s="3">
        <v>37</v>
      </c>
      <c r="B36" s="7" t="s">
        <v>37</v>
      </c>
      <c r="C36" s="3" t="s">
        <v>38</v>
      </c>
      <c r="D36" s="3" t="s">
        <v>16</v>
      </c>
      <c r="E36" s="4" t="s">
        <v>27</v>
      </c>
      <c r="F36" s="5">
        <v>40219</v>
      </c>
      <c r="G36" s="5" t="s">
        <v>18</v>
      </c>
      <c r="H36" s="6">
        <v>48900</v>
      </c>
      <c r="I36" s="6">
        <f t="shared" si="3"/>
        <v>1467</v>
      </c>
    </row>
    <row r="37" spans="1:9" x14ac:dyDescent="0.25">
      <c r="A37" s="3">
        <v>41</v>
      </c>
      <c r="B37" s="3" t="s">
        <v>9</v>
      </c>
      <c r="C37" s="3" t="s">
        <v>10</v>
      </c>
      <c r="D37" s="3" t="s">
        <v>29</v>
      </c>
      <c r="E37" s="4" t="s">
        <v>30</v>
      </c>
      <c r="F37" s="5">
        <v>41765</v>
      </c>
      <c r="G37" s="5" t="s">
        <v>18</v>
      </c>
      <c r="H37" s="6">
        <v>12000</v>
      </c>
      <c r="I37" s="6">
        <f t="shared" si="3"/>
        <v>360</v>
      </c>
    </row>
    <row r="38" spans="1:9" x14ac:dyDescent="0.25">
      <c r="A38" s="3">
        <v>43</v>
      </c>
      <c r="B38" s="3" t="s">
        <v>14</v>
      </c>
      <c r="C38" s="3" t="s">
        <v>15</v>
      </c>
      <c r="D38" s="3" t="s">
        <v>29</v>
      </c>
      <c r="E38" s="4" t="s">
        <v>17</v>
      </c>
      <c r="F38" s="5">
        <v>40881</v>
      </c>
      <c r="G38" s="5" t="s">
        <v>18</v>
      </c>
      <c r="H38" s="6">
        <v>35000</v>
      </c>
      <c r="I38" s="6">
        <f t="shared" si="3"/>
        <v>1050</v>
      </c>
    </row>
    <row r="39" spans="1:9" x14ac:dyDescent="0.25">
      <c r="A39" s="3">
        <v>47</v>
      </c>
      <c r="B39" s="7" t="s">
        <v>21</v>
      </c>
      <c r="C39" s="3" t="s">
        <v>22</v>
      </c>
      <c r="D39" s="3" t="s">
        <v>11</v>
      </c>
      <c r="E39" s="4" t="s">
        <v>31</v>
      </c>
      <c r="F39" s="5">
        <v>41735</v>
      </c>
      <c r="G39" s="5" t="s">
        <v>18</v>
      </c>
      <c r="H39" s="6">
        <v>35000</v>
      </c>
      <c r="I39" s="6">
        <f t="shared" si="3"/>
        <v>1050</v>
      </c>
    </row>
    <row r="40" spans="1:9" x14ac:dyDescent="0.25">
      <c r="A40" s="3">
        <v>5</v>
      </c>
      <c r="B40" s="7" t="s">
        <v>25</v>
      </c>
      <c r="C40" s="3" t="s">
        <v>26</v>
      </c>
      <c r="D40" s="3" t="s">
        <v>16</v>
      </c>
      <c r="E40" s="4" t="s">
        <v>27</v>
      </c>
      <c r="F40" s="5">
        <v>39232</v>
      </c>
      <c r="G40" s="5" t="s">
        <v>28</v>
      </c>
      <c r="H40" s="6">
        <v>29000</v>
      </c>
      <c r="I40" s="6">
        <f t="shared" ref="I40:I49" si="4">H40*3%</f>
        <v>870</v>
      </c>
    </row>
    <row r="41" spans="1:9" x14ac:dyDescent="0.25">
      <c r="A41" s="3">
        <v>14</v>
      </c>
      <c r="B41" s="7" t="s">
        <v>21</v>
      </c>
      <c r="C41" s="3" t="s">
        <v>22</v>
      </c>
      <c r="D41" s="3" t="s">
        <v>23</v>
      </c>
      <c r="E41" s="4" t="s">
        <v>31</v>
      </c>
      <c r="F41" s="5">
        <v>40034</v>
      </c>
      <c r="G41" s="5" t="s">
        <v>28</v>
      </c>
      <c r="H41" s="6">
        <v>45000</v>
      </c>
      <c r="I41" s="6">
        <f t="shared" si="4"/>
        <v>1350</v>
      </c>
    </row>
    <row r="42" spans="1:9" x14ac:dyDescent="0.25">
      <c r="A42" s="3">
        <v>16</v>
      </c>
      <c r="B42" s="3" t="s">
        <v>32</v>
      </c>
      <c r="C42" s="3" t="s">
        <v>33</v>
      </c>
      <c r="D42" s="3" t="s">
        <v>16</v>
      </c>
      <c r="E42" s="4" t="s">
        <v>30</v>
      </c>
      <c r="F42" s="5">
        <v>39012</v>
      </c>
      <c r="G42" s="5" t="s">
        <v>28</v>
      </c>
      <c r="H42" s="6">
        <v>20000</v>
      </c>
      <c r="I42" s="6">
        <f t="shared" si="4"/>
        <v>600</v>
      </c>
    </row>
    <row r="43" spans="1:9" x14ac:dyDescent="0.25">
      <c r="A43" s="3">
        <v>20</v>
      </c>
      <c r="B43" s="7" t="s">
        <v>25</v>
      </c>
      <c r="C43" s="3" t="s">
        <v>26</v>
      </c>
      <c r="D43" s="3" t="s">
        <v>16</v>
      </c>
      <c r="E43" s="4" t="s">
        <v>27</v>
      </c>
      <c r="F43" s="5">
        <v>41973</v>
      </c>
      <c r="G43" s="5" t="s">
        <v>28</v>
      </c>
      <c r="H43" s="6">
        <v>29000</v>
      </c>
      <c r="I43" s="6">
        <f t="shared" si="4"/>
        <v>870</v>
      </c>
    </row>
    <row r="44" spans="1:9" x14ac:dyDescent="0.25">
      <c r="A44" s="3">
        <v>31</v>
      </c>
      <c r="B44" s="7" t="s">
        <v>25</v>
      </c>
      <c r="C44" s="3" t="s">
        <v>26</v>
      </c>
      <c r="D44" s="3" t="s">
        <v>29</v>
      </c>
      <c r="E44" s="4" t="s">
        <v>27</v>
      </c>
      <c r="F44" s="5">
        <v>40890</v>
      </c>
      <c r="G44" s="5" t="s">
        <v>28</v>
      </c>
      <c r="H44" s="6">
        <v>20000</v>
      </c>
      <c r="I44" s="6">
        <f t="shared" si="4"/>
        <v>600</v>
      </c>
    </row>
    <row r="45" spans="1:9" x14ac:dyDescent="0.25">
      <c r="A45" s="3">
        <v>32</v>
      </c>
      <c r="B45" s="3" t="s">
        <v>35</v>
      </c>
      <c r="C45" s="3" t="s">
        <v>36</v>
      </c>
      <c r="D45" s="3" t="s">
        <v>29</v>
      </c>
      <c r="E45" s="4" t="s">
        <v>12</v>
      </c>
      <c r="F45" s="5">
        <v>41759</v>
      </c>
      <c r="G45" s="5" t="s">
        <v>28</v>
      </c>
      <c r="H45" s="6">
        <v>35000</v>
      </c>
      <c r="I45" s="6">
        <f t="shared" si="4"/>
        <v>1050</v>
      </c>
    </row>
    <row r="46" spans="1:9" x14ac:dyDescent="0.25">
      <c r="A46" s="3">
        <v>42</v>
      </c>
      <c r="B46" s="3" t="s">
        <v>9</v>
      </c>
      <c r="C46" s="3" t="s">
        <v>10</v>
      </c>
      <c r="D46" s="3" t="s">
        <v>11</v>
      </c>
      <c r="E46" s="4" t="s">
        <v>30</v>
      </c>
      <c r="F46" s="5">
        <v>40308</v>
      </c>
      <c r="G46" s="5" t="s">
        <v>28</v>
      </c>
      <c r="H46" s="6">
        <v>12000</v>
      </c>
      <c r="I46" s="6">
        <f t="shared" si="4"/>
        <v>360</v>
      </c>
    </row>
    <row r="47" spans="1:9" x14ac:dyDescent="0.25">
      <c r="A47" s="3">
        <v>44</v>
      </c>
      <c r="B47" s="7" t="s">
        <v>37</v>
      </c>
      <c r="C47" s="3" t="s">
        <v>38</v>
      </c>
      <c r="D47" s="3" t="s">
        <v>29</v>
      </c>
      <c r="E47" s="4" t="s">
        <v>12</v>
      </c>
      <c r="F47" s="5">
        <v>40729</v>
      </c>
      <c r="G47" s="5" t="s">
        <v>28</v>
      </c>
      <c r="H47" s="6">
        <v>45000</v>
      </c>
      <c r="I47" s="6">
        <f t="shared" si="4"/>
        <v>1350</v>
      </c>
    </row>
    <row r="48" spans="1:9" x14ac:dyDescent="0.25">
      <c r="A48" s="3">
        <v>45</v>
      </c>
      <c r="B48" s="3" t="s">
        <v>35</v>
      </c>
      <c r="C48" s="3" t="s">
        <v>36</v>
      </c>
      <c r="D48" s="3" t="s">
        <v>16</v>
      </c>
      <c r="E48" s="4" t="s">
        <v>19</v>
      </c>
      <c r="F48" s="5">
        <v>42300</v>
      </c>
      <c r="G48" s="5" t="s">
        <v>28</v>
      </c>
      <c r="H48" s="6">
        <v>41000</v>
      </c>
      <c r="I48" s="6">
        <f t="shared" si="4"/>
        <v>1230</v>
      </c>
    </row>
    <row r="49" spans="1:9" x14ac:dyDescent="0.25">
      <c r="A49" s="3">
        <v>46</v>
      </c>
      <c r="B49" s="3" t="s">
        <v>32</v>
      </c>
      <c r="C49" s="3" t="s">
        <v>33</v>
      </c>
      <c r="D49" s="3" t="s">
        <v>34</v>
      </c>
      <c r="E49" s="4" t="s">
        <v>19</v>
      </c>
      <c r="F49" s="5">
        <v>39465</v>
      </c>
      <c r="G49" s="5" t="s">
        <v>28</v>
      </c>
      <c r="H49" s="6">
        <v>20000</v>
      </c>
      <c r="I49" s="6">
        <f t="shared" si="4"/>
        <v>600</v>
      </c>
    </row>
  </sheetData>
  <sortState xmlns:xlrd2="http://schemas.microsoft.com/office/spreadsheetml/2017/richdata2" ref="A2:I45">
    <sortCondition ref="G8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B2:C8"/>
  <sheetViews>
    <sheetView zoomScale="110" zoomScaleNormal="110" workbookViewId="0">
      <selection activeCell="B20" sqref="B20"/>
    </sheetView>
  </sheetViews>
  <sheetFormatPr baseColWidth="10" defaultRowHeight="15" x14ac:dyDescent="0.25"/>
  <cols>
    <col min="1" max="1" width="5.42578125" customWidth="1"/>
    <col min="2" max="2" width="19.85546875" bestFit="1" customWidth="1"/>
    <col min="3" max="3" width="10.7109375" bestFit="1" customWidth="1"/>
  </cols>
  <sheetData>
    <row r="2" spans="2:3" ht="15.75" x14ac:dyDescent="0.25">
      <c r="B2" s="8" t="s">
        <v>6</v>
      </c>
      <c r="C2" s="8" t="s">
        <v>7</v>
      </c>
    </row>
    <row r="3" spans="2:3" ht="15.75" x14ac:dyDescent="0.25">
      <c r="B3" s="14" t="s">
        <v>13</v>
      </c>
      <c r="C3" s="15">
        <v>201700</v>
      </c>
    </row>
    <row r="4" spans="2:3" ht="15.75" x14ac:dyDescent="0.25">
      <c r="B4" s="14" t="s">
        <v>20</v>
      </c>
      <c r="C4" s="15">
        <v>350100</v>
      </c>
    </row>
    <row r="5" spans="2:3" ht="15.75" x14ac:dyDescent="0.25">
      <c r="B5" s="14" t="s">
        <v>24</v>
      </c>
      <c r="C5" s="15">
        <v>308700</v>
      </c>
    </row>
    <row r="6" spans="2:3" ht="15.75" x14ac:dyDescent="0.25">
      <c r="B6" s="14" t="s">
        <v>18</v>
      </c>
      <c r="C6" s="15">
        <v>328100</v>
      </c>
    </row>
    <row r="7" spans="2:3" ht="15.75" x14ac:dyDescent="0.25">
      <c r="B7" s="17" t="s">
        <v>28</v>
      </c>
      <c r="C7" s="18">
        <v>296000</v>
      </c>
    </row>
    <row r="8" spans="2:3" ht="15.75" x14ac:dyDescent="0.25">
      <c r="B8" s="12" t="s">
        <v>44</v>
      </c>
      <c r="C8" s="11">
        <v>1484600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B2:C9"/>
  <sheetViews>
    <sheetView workbookViewId="0">
      <selection activeCell="B20" sqref="B20"/>
    </sheetView>
  </sheetViews>
  <sheetFormatPr baseColWidth="10" defaultRowHeight="15" x14ac:dyDescent="0.25"/>
  <cols>
    <col min="1" max="1" width="5" customWidth="1"/>
    <col min="2" max="2" width="18.5703125" bestFit="1" customWidth="1"/>
    <col min="3" max="3" width="7.5703125" bestFit="1" customWidth="1"/>
  </cols>
  <sheetData>
    <row r="2" spans="2:3" ht="15.75" x14ac:dyDescent="0.25">
      <c r="B2" s="8" t="s">
        <v>4</v>
      </c>
      <c r="C2" s="8" t="s">
        <v>7</v>
      </c>
    </row>
    <row r="3" spans="2:3" ht="15.75" x14ac:dyDescent="0.25">
      <c r="B3" s="21" t="s">
        <v>30</v>
      </c>
      <c r="C3" s="15">
        <v>18850</v>
      </c>
    </row>
    <row r="4" spans="2:3" ht="15.75" x14ac:dyDescent="0.25">
      <c r="B4" s="21" t="s">
        <v>31</v>
      </c>
      <c r="C4" s="15">
        <v>41000</v>
      </c>
    </row>
    <row r="5" spans="2:3" ht="15.75" x14ac:dyDescent="0.25">
      <c r="B5" s="21" t="s">
        <v>17</v>
      </c>
      <c r="C5" s="15">
        <v>29150</v>
      </c>
    </row>
    <row r="6" spans="2:3" ht="15.75" x14ac:dyDescent="0.25">
      <c r="B6" s="21" t="s">
        <v>27</v>
      </c>
      <c r="C6" s="15">
        <v>32245.454545454544</v>
      </c>
    </row>
    <row r="7" spans="2:3" ht="15.75" x14ac:dyDescent="0.25">
      <c r="B7" s="21" t="s">
        <v>12</v>
      </c>
      <c r="C7" s="15">
        <v>37630</v>
      </c>
    </row>
    <row r="8" spans="2:3" ht="15.75" x14ac:dyDescent="0.25">
      <c r="B8" s="22" t="s">
        <v>19</v>
      </c>
      <c r="C8" s="18">
        <v>26428.571428571428</v>
      </c>
    </row>
    <row r="9" spans="2:3" ht="15.75" x14ac:dyDescent="0.25">
      <c r="B9" s="20" t="s">
        <v>45</v>
      </c>
      <c r="C9" s="11">
        <v>30929.166666666668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B2:C8"/>
  <sheetViews>
    <sheetView workbookViewId="0">
      <selection activeCell="B20" sqref="B20"/>
    </sheetView>
  </sheetViews>
  <sheetFormatPr baseColWidth="10" defaultRowHeight="15" x14ac:dyDescent="0.25"/>
  <cols>
    <col min="1" max="1" width="5" customWidth="1"/>
    <col min="2" max="2" width="15.7109375" bestFit="1" customWidth="1"/>
  </cols>
  <sheetData>
    <row r="2" spans="2:3" ht="15.75" x14ac:dyDescent="0.25">
      <c r="B2" s="9" t="s">
        <v>3</v>
      </c>
      <c r="C2" s="2" t="s">
        <v>4</v>
      </c>
    </row>
    <row r="3" spans="2:3" ht="15.75" x14ac:dyDescent="0.25">
      <c r="B3" s="25" t="s">
        <v>16</v>
      </c>
      <c r="C3" s="13">
        <v>7</v>
      </c>
    </row>
    <row r="4" spans="2:3" ht="15.75" x14ac:dyDescent="0.25">
      <c r="B4" s="25" t="s">
        <v>34</v>
      </c>
      <c r="C4" s="13">
        <v>9</v>
      </c>
    </row>
    <row r="5" spans="2:3" ht="15.75" x14ac:dyDescent="0.25">
      <c r="B5" s="25" t="s">
        <v>11</v>
      </c>
      <c r="C5" s="13">
        <v>7</v>
      </c>
    </row>
    <row r="6" spans="2:3" ht="15.75" x14ac:dyDescent="0.25">
      <c r="B6" s="25" t="s">
        <v>29</v>
      </c>
      <c r="C6" s="13">
        <v>15</v>
      </c>
    </row>
    <row r="7" spans="2:3" ht="15.75" x14ac:dyDescent="0.25">
      <c r="B7" s="26" t="s">
        <v>23</v>
      </c>
      <c r="C7" s="16">
        <v>10</v>
      </c>
    </row>
    <row r="8" spans="2:3" ht="15.75" x14ac:dyDescent="0.25">
      <c r="B8" s="24" t="s">
        <v>46</v>
      </c>
      <c r="C8" s="10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B2:C14"/>
  <sheetViews>
    <sheetView workbookViewId="0">
      <selection activeCell="B20" sqref="B20"/>
    </sheetView>
  </sheetViews>
  <sheetFormatPr baseColWidth="10" defaultRowHeight="15" x14ac:dyDescent="0.25"/>
  <cols>
    <col min="1" max="1" width="5" customWidth="1"/>
    <col min="2" max="2" width="16.85546875" bestFit="1" customWidth="1"/>
  </cols>
  <sheetData>
    <row r="2" spans="2:3" ht="15.75" x14ac:dyDescent="0.25">
      <c r="B2" s="2" t="s">
        <v>47</v>
      </c>
      <c r="C2" s="2" t="s">
        <v>7</v>
      </c>
    </row>
    <row r="3" spans="2:3" ht="15.75" x14ac:dyDescent="0.25">
      <c r="B3" s="33" t="s">
        <v>146</v>
      </c>
      <c r="C3" s="6">
        <v>35000</v>
      </c>
    </row>
    <row r="4" spans="2:3" ht="15.75" x14ac:dyDescent="0.25">
      <c r="B4" s="33" t="s">
        <v>147</v>
      </c>
      <c r="C4" s="6">
        <v>45000</v>
      </c>
    </row>
    <row r="5" spans="2:3" ht="15.75" x14ac:dyDescent="0.25">
      <c r="B5" s="33" t="s">
        <v>148</v>
      </c>
      <c r="C5" s="6">
        <v>42000</v>
      </c>
    </row>
    <row r="6" spans="2:3" ht="15.75" x14ac:dyDescent="0.25">
      <c r="B6" s="33" t="s">
        <v>149</v>
      </c>
      <c r="C6" s="6">
        <v>48900</v>
      </c>
    </row>
    <row r="7" spans="2:3" ht="15.75" x14ac:dyDescent="0.25">
      <c r="B7" s="33" t="s">
        <v>150</v>
      </c>
      <c r="C7" s="6">
        <v>48900</v>
      </c>
    </row>
    <row r="8" spans="2:3" ht="15.75" x14ac:dyDescent="0.25">
      <c r="B8" s="33" t="s">
        <v>151</v>
      </c>
      <c r="C8" s="6">
        <v>45000</v>
      </c>
    </row>
    <row r="9" spans="2:3" ht="15.75" x14ac:dyDescent="0.25">
      <c r="B9" s="33" t="s">
        <v>152</v>
      </c>
      <c r="C9" s="6">
        <v>32500</v>
      </c>
    </row>
    <row r="10" spans="2:3" ht="15.75" x14ac:dyDescent="0.25">
      <c r="B10" s="33" t="s">
        <v>153</v>
      </c>
      <c r="C10" s="6">
        <v>39000</v>
      </c>
    </row>
    <row r="11" spans="2:3" ht="15.75" x14ac:dyDescent="0.25">
      <c r="B11" s="33" t="s">
        <v>154</v>
      </c>
      <c r="C11" s="6">
        <v>39000</v>
      </c>
    </row>
    <row r="12" spans="2:3" ht="15.75" x14ac:dyDescent="0.25">
      <c r="B12" s="33" t="s">
        <v>155</v>
      </c>
      <c r="C12" s="6">
        <v>42000</v>
      </c>
    </row>
    <row r="13" spans="2:3" ht="15.75" x14ac:dyDescent="0.25">
      <c r="B13" s="34" t="s">
        <v>156</v>
      </c>
      <c r="C13" s="11">
        <v>18100</v>
      </c>
    </row>
    <row r="14" spans="2:3" ht="15.75" x14ac:dyDescent="0.25">
      <c r="B14" s="20" t="s">
        <v>59</v>
      </c>
      <c r="C14" s="11">
        <v>48900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B2:C10"/>
  <sheetViews>
    <sheetView workbookViewId="0">
      <selection activeCell="B20" sqref="B20"/>
    </sheetView>
  </sheetViews>
  <sheetFormatPr baseColWidth="10" defaultRowHeight="15" x14ac:dyDescent="0.25"/>
  <cols>
    <col min="1" max="1" width="5" customWidth="1"/>
    <col min="2" max="2" width="25.85546875" bestFit="1" customWidth="1"/>
  </cols>
  <sheetData>
    <row r="2" spans="2:3" ht="15.75" x14ac:dyDescent="0.25">
      <c r="B2" s="2" t="s">
        <v>1</v>
      </c>
      <c r="C2" s="2" t="s">
        <v>7</v>
      </c>
    </row>
    <row r="3" spans="2:3" ht="15.75" x14ac:dyDescent="0.25">
      <c r="B3" s="25" t="s">
        <v>14</v>
      </c>
      <c r="C3" s="15">
        <v>28337.5</v>
      </c>
    </row>
    <row r="4" spans="2:3" ht="15.75" x14ac:dyDescent="0.25">
      <c r="B4" s="25" t="s">
        <v>35</v>
      </c>
      <c r="C4" s="15">
        <v>37000</v>
      </c>
    </row>
    <row r="5" spans="2:3" ht="15.75" x14ac:dyDescent="0.25">
      <c r="B5" s="25" t="s">
        <v>9</v>
      </c>
      <c r="C5" s="15">
        <v>20583.333333333332</v>
      </c>
    </row>
    <row r="6" spans="2:3" ht="15.75" x14ac:dyDescent="0.25">
      <c r="B6" s="25" t="s">
        <v>32</v>
      </c>
      <c r="C6" s="15">
        <v>27433.333333333332</v>
      </c>
    </row>
    <row r="7" spans="2:3" ht="15.75" x14ac:dyDescent="0.25">
      <c r="B7" s="28" t="s">
        <v>21</v>
      </c>
      <c r="C7" s="15">
        <v>33015.384615384617</v>
      </c>
    </row>
    <row r="8" spans="2:3" ht="15.75" x14ac:dyDescent="0.25">
      <c r="B8" s="28" t="s">
        <v>25</v>
      </c>
      <c r="C8" s="15">
        <v>32171.428571428572</v>
      </c>
    </row>
    <row r="9" spans="2:3" ht="15.75" x14ac:dyDescent="0.25">
      <c r="B9" s="29" t="s">
        <v>37</v>
      </c>
      <c r="C9" s="18">
        <v>41850</v>
      </c>
    </row>
    <row r="10" spans="2:3" ht="15.75" x14ac:dyDescent="0.25">
      <c r="B10" s="27" t="s">
        <v>45</v>
      </c>
      <c r="C10" s="11">
        <v>30929.166666666668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70C0"/>
  </sheetPr>
  <dimension ref="B2:C16"/>
  <sheetViews>
    <sheetView workbookViewId="0">
      <selection activeCell="B20" sqref="B20"/>
    </sheetView>
  </sheetViews>
  <sheetFormatPr baseColWidth="10" defaultRowHeight="15" x14ac:dyDescent="0.25"/>
  <cols>
    <col min="1" max="1" width="5" customWidth="1"/>
    <col min="2" max="2" width="16.85546875" bestFit="1" customWidth="1"/>
  </cols>
  <sheetData>
    <row r="2" spans="2:3" ht="15.75" x14ac:dyDescent="0.25">
      <c r="B2" s="2" t="s">
        <v>4</v>
      </c>
      <c r="C2" s="2" t="s">
        <v>7</v>
      </c>
    </row>
    <row r="3" spans="2:3" ht="15.75" x14ac:dyDescent="0.25">
      <c r="B3" s="19" t="s">
        <v>66</v>
      </c>
      <c r="C3" s="6">
        <v>12000</v>
      </c>
    </row>
    <row r="4" spans="2:3" ht="15.75" x14ac:dyDescent="0.25">
      <c r="B4" s="19" t="s">
        <v>60</v>
      </c>
      <c r="C4" s="6">
        <v>39000</v>
      </c>
    </row>
    <row r="5" spans="2:3" ht="15.75" x14ac:dyDescent="0.25">
      <c r="B5" s="19" t="s">
        <v>67</v>
      </c>
      <c r="C5" s="6">
        <v>35000</v>
      </c>
    </row>
    <row r="6" spans="2:3" ht="15.75" x14ac:dyDescent="0.25">
      <c r="B6" s="19" t="s">
        <v>61</v>
      </c>
      <c r="C6" s="6">
        <v>45000</v>
      </c>
    </row>
    <row r="7" spans="2:3" ht="15.75" x14ac:dyDescent="0.25">
      <c r="B7" s="19" t="s">
        <v>68</v>
      </c>
      <c r="C7" s="6">
        <v>12000</v>
      </c>
    </row>
    <row r="8" spans="2:3" ht="15.75" x14ac:dyDescent="0.25">
      <c r="B8" s="19" t="s">
        <v>62</v>
      </c>
      <c r="C8" s="6">
        <v>42000</v>
      </c>
    </row>
    <row r="9" spans="2:3" ht="15.75" x14ac:dyDescent="0.25">
      <c r="B9" s="19" t="s">
        <v>69</v>
      </c>
      <c r="C9" s="6">
        <v>18100</v>
      </c>
    </row>
    <row r="10" spans="2:3" ht="15.75" x14ac:dyDescent="0.25">
      <c r="B10" s="19" t="s">
        <v>63</v>
      </c>
      <c r="C10" s="6">
        <v>48900</v>
      </c>
    </row>
    <row r="11" spans="2:3" ht="15.75" x14ac:dyDescent="0.25">
      <c r="B11" s="19" t="s">
        <v>70</v>
      </c>
      <c r="C11" s="6">
        <v>20000</v>
      </c>
    </row>
    <row r="12" spans="2:3" ht="15.75" x14ac:dyDescent="0.25">
      <c r="B12" s="19" t="s">
        <v>64</v>
      </c>
      <c r="C12" s="6">
        <v>48900</v>
      </c>
    </row>
    <row r="13" spans="2:3" ht="15.75" x14ac:dyDescent="0.25">
      <c r="B13" s="20" t="s">
        <v>71</v>
      </c>
      <c r="C13" s="11">
        <v>12000</v>
      </c>
    </row>
    <row r="14" spans="2:3" ht="15.75" x14ac:dyDescent="0.25">
      <c r="B14" s="20" t="s">
        <v>65</v>
      </c>
      <c r="C14" s="11">
        <v>41000</v>
      </c>
    </row>
    <row r="15" spans="2:3" ht="15.75" x14ac:dyDescent="0.25">
      <c r="B15" s="20" t="s">
        <v>72</v>
      </c>
      <c r="C15" s="11">
        <v>12000</v>
      </c>
    </row>
    <row r="16" spans="2:3" ht="15.75" x14ac:dyDescent="0.25">
      <c r="B16" s="20" t="s">
        <v>59</v>
      </c>
      <c r="C16" s="11">
        <v>48900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70C0"/>
  </sheetPr>
  <dimension ref="B2:C18"/>
  <sheetViews>
    <sheetView workbookViewId="0">
      <selection activeCell="B20" sqref="B20"/>
    </sheetView>
  </sheetViews>
  <sheetFormatPr baseColWidth="10" defaultRowHeight="15" x14ac:dyDescent="0.25"/>
  <cols>
    <col min="1" max="1" width="5" customWidth="1"/>
    <col min="2" max="2" width="21.28515625" bestFit="1" customWidth="1"/>
  </cols>
  <sheetData>
    <row r="2" spans="2:3" ht="15.75" x14ac:dyDescent="0.25">
      <c r="B2" s="2" t="s">
        <v>2</v>
      </c>
      <c r="C2" s="2" t="s">
        <v>7</v>
      </c>
    </row>
    <row r="3" spans="2:3" ht="15.75" x14ac:dyDescent="0.25">
      <c r="B3" s="23" t="s">
        <v>80</v>
      </c>
      <c r="C3" s="6">
        <v>28337.5</v>
      </c>
    </row>
    <row r="4" spans="2:3" ht="15.75" x14ac:dyDescent="0.25">
      <c r="B4" s="23" t="s">
        <v>73</v>
      </c>
      <c r="C4" s="6">
        <v>226700</v>
      </c>
    </row>
    <row r="5" spans="2:3" ht="15.75" x14ac:dyDescent="0.25">
      <c r="B5" s="23" t="s">
        <v>81</v>
      </c>
      <c r="C5" s="6">
        <v>27433.333333333332</v>
      </c>
    </row>
    <row r="6" spans="2:3" ht="15.75" x14ac:dyDescent="0.25">
      <c r="B6" s="23" t="s">
        <v>74</v>
      </c>
      <c r="C6" s="6">
        <v>164600</v>
      </c>
    </row>
    <row r="7" spans="2:3" ht="15.75" x14ac:dyDescent="0.25">
      <c r="B7" s="23" t="s">
        <v>82</v>
      </c>
      <c r="C7" s="6">
        <v>41850</v>
      </c>
    </row>
    <row r="8" spans="2:3" ht="15.75" x14ac:dyDescent="0.25">
      <c r="B8" s="23" t="s">
        <v>75</v>
      </c>
      <c r="C8" s="6">
        <v>167400</v>
      </c>
    </row>
    <row r="9" spans="2:3" ht="15.75" x14ac:dyDescent="0.25">
      <c r="B9" s="23" t="s">
        <v>83</v>
      </c>
      <c r="C9" s="6">
        <v>20583.333333333332</v>
      </c>
    </row>
    <row r="10" spans="2:3" ht="15.75" x14ac:dyDescent="0.25">
      <c r="B10" s="23" t="s">
        <v>76</v>
      </c>
      <c r="C10" s="6">
        <v>123500</v>
      </c>
    </row>
    <row r="11" spans="2:3" ht="15.75" x14ac:dyDescent="0.25">
      <c r="B11" s="23" t="s">
        <v>84</v>
      </c>
      <c r="C11" s="6">
        <v>32171.428571428572</v>
      </c>
    </row>
    <row r="12" spans="2:3" ht="15.75" x14ac:dyDescent="0.25">
      <c r="B12" s="23" t="s">
        <v>77</v>
      </c>
      <c r="C12" s="6">
        <v>225200</v>
      </c>
    </row>
    <row r="13" spans="2:3" ht="15.75" x14ac:dyDescent="0.25">
      <c r="B13" s="23" t="s">
        <v>85</v>
      </c>
      <c r="C13" s="6">
        <v>33015.384615384617</v>
      </c>
    </row>
    <row r="14" spans="2:3" ht="15.75" x14ac:dyDescent="0.25">
      <c r="B14" s="23" t="s">
        <v>78</v>
      </c>
      <c r="C14" s="6">
        <v>429200</v>
      </c>
    </row>
    <row r="15" spans="2:3" ht="15.75" x14ac:dyDescent="0.25">
      <c r="B15" s="24" t="s">
        <v>86</v>
      </c>
      <c r="C15" s="11">
        <v>37000</v>
      </c>
    </row>
    <row r="16" spans="2:3" ht="15.75" x14ac:dyDescent="0.25">
      <c r="B16" s="24" t="s">
        <v>79</v>
      </c>
      <c r="C16" s="11">
        <v>148000</v>
      </c>
    </row>
    <row r="17" spans="2:3" ht="15.75" x14ac:dyDescent="0.25">
      <c r="B17" s="24" t="s">
        <v>45</v>
      </c>
      <c r="C17" s="11">
        <v>30929.166666666668</v>
      </c>
    </row>
    <row r="18" spans="2:3" ht="15.75" x14ac:dyDescent="0.25">
      <c r="B18" s="24" t="s">
        <v>44</v>
      </c>
      <c r="C18" s="11">
        <v>1484600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70C0"/>
  </sheetPr>
  <dimension ref="B2:D9"/>
  <sheetViews>
    <sheetView workbookViewId="0">
      <selection activeCell="B20" sqref="B20"/>
    </sheetView>
  </sheetViews>
  <sheetFormatPr baseColWidth="10" defaultRowHeight="15" x14ac:dyDescent="0.25"/>
  <cols>
    <col min="1" max="1" width="5" customWidth="1"/>
    <col min="2" max="2" width="18.5703125" bestFit="1" customWidth="1"/>
  </cols>
  <sheetData>
    <row r="2" spans="2:4" ht="15.75" x14ac:dyDescent="0.25">
      <c r="B2" s="2" t="s">
        <v>3</v>
      </c>
      <c r="C2" s="2" t="s">
        <v>4</v>
      </c>
      <c r="D2" s="2" t="s">
        <v>7</v>
      </c>
    </row>
    <row r="3" spans="2:4" ht="15.75" x14ac:dyDescent="0.25">
      <c r="B3" s="23" t="s">
        <v>87</v>
      </c>
      <c r="C3" s="4"/>
      <c r="D3" s="6">
        <v>33628.571428571428</v>
      </c>
    </row>
    <row r="4" spans="2:4" ht="15.75" x14ac:dyDescent="0.25">
      <c r="B4" s="23" t="s">
        <v>88</v>
      </c>
      <c r="C4" s="4"/>
      <c r="D4" s="6">
        <v>32177.777777777777</v>
      </c>
    </row>
    <row r="5" spans="2:4" ht="15.75" x14ac:dyDescent="0.25">
      <c r="B5" s="23" t="s">
        <v>89</v>
      </c>
      <c r="C5" s="4"/>
      <c r="D5" s="6">
        <v>30785.714285714286</v>
      </c>
    </row>
    <row r="6" spans="2:4" ht="15.75" x14ac:dyDescent="0.25">
      <c r="B6" s="23" t="s">
        <v>90</v>
      </c>
      <c r="C6" s="4"/>
      <c r="D6" s="6">
        <v>25733.333333333332</v>
      </c>
    </row>
    <row r="7" spans="2:4" ht="15.75" x14ac:dyDescent="0.25">
      <c r="B7" s="24" t="s">
        <v>91</v>
      </c>
      <c r="C7" s="10"/>
      <c r="D7" s="11">
        <v>35810</v>
      </c>
    </row>
    <row r="8" spans="2:4" ht="15.75" x14ac:dyDescent="0.25">
      <c r="B8" s="24" t="s">
        <v>46</v>
      </c>
      <c r="C8" s="10"/>
      <c r="D8" s="30">
        <v>48</v>
      </c>
    </row>
    <row r="9" spans="2:4" ht="15.75" x14ac:dyDescent="0.25">
      <c r="B9" s="24" t="s">
        <v>45</v>
      </c>
      <c r="C9" s="10"/>
      <c r="D9" s="11">
        <v>30929.166666666668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70C0"/>
  </sheetPr>
  <dimension ref="B2:C20"/>
  <sheetViews>
    <sheetView workbookViewId="0">
      <selection activeCell="B20" sqref="B20"/>
    </sheetView>
  </sheetViews>
  <sheetFormatPr baseColWidth="10" defaultRowHeight="15" x14ac:dyDescent="0.25"/>
  <cols>
    <col min="1" max="1" width="5" customWidth="1"/>
    <col min="2" max="2" width="24.5703125" bestFit="1" customWidth="1"/>
  </cols>
  <sheetData>
    <row r="2" spans="2:3" ht="15.75" x14ac:dyDescent="0.25">
      <c r="B2" s="2" t="s">
        <v>6</v>
      </c>
      <c r="C2" s="2" t="s">
        <v>7</v>
      </c>
    </row>
    <row r="3" spans="2:3" ht="15.75" x14ac:dyDescent="0.25">
      <c r="B3" s="14" t="s">
        <v>97</v>
      </c>
      <c r="C3" s="15">
        <v>25212.5</v>
      </c>
    </row>
    <row r="4" spans="2:3" ht="15.75" x14ac:dyDescent="0.25">
      <c r="B4" s="14" t="s">
        <v>92</v>
      </c>
      <c r="C4" s="32">
        <v>8</v>
      </c>
    </row>
    <row r="5" spans="2:3" ht="15.75" x14ac:dyDescent="0.25">
      <c r="B5" s="14" t="s">
        <v>39</v>
      </c>
      <c r="C5" s="15">
        <v>201700</v>
      </c>
    </row>
    <row r="6" spans="2:3" ht="15.75" x14ac:dyDescent="0.25">
      <c r="B6" s="14" t="s">
        <v>98</v>
      </c>
      <c r="C6" s="15">
        <v>35010</v>
      </c>
    </row>
    <row r="7" spans="2:3" ht="15.75" x14ac:dyDescent="0.25">
      <c r="B7" s="14" t="s">
        <v>93</v>
      </c>
      <c r="C7" s="32">
        <v>10</v>
      </c>
    </row>
    <row r="8" spans="2:3" ht="15.75" x14ac:dyDescent="0.25">
      <c r="B8" s="14" t="s">
        <v>40</v>
      </c>
      <c r="C8" s="15">
        <v>350100</v>
      </c>
    </row>
    <row r="9" spans="2:3" ht="15.75" x14ac:dyDescent="0.25">
      <c r="B9" s="14" t="s">
        <v>99</v>
      </c>
      <c r="C9" s="15">
        <v>34300</v>
      </c>
    </row>
    <row r="10" spans="2:3" ht="15.75" x14ac:dyDescent="0.25">
      <c r="B10" s="14" t="s">
        <v>94</v>
      </c>
      <c r="C10" s="32">
        <v>9</v>
      </c>
    </row>
    <row r="11" spans="2:3" ht="15.75" x14ac:dyDescent="0.25">
      <c r="B11" s="14" t="s">
        <v>41</v>
      </c>
      <c r="C11" s="15">
        <v>308700</v>
      </c>
    </row>
    <row r="12" spans="2:3" ht="15.75" x14ac:dyDescent="0.25">
      <c r="B12" s="14" t="s">
        <v>100</v>
      </c>
      <c r="C12" s="15">
        <v>29827.272727272728</v>
      </c>
    </row>
    <row r="13" spans="2:3" ht="15.75" x14ac:dyDescent="0.25">
      <c r="B13" s="14" t="s">
        <v>95</v>
      </c>
      <c r="C13" s="32">
        <v>11</v>
      </c>
    </row>
    <row r="14" spans="2:3" ht="15.75" x14ac:dyDescent="0.25">
      <c r="B14" s="14" t="s">
        <v>42</v>
      </c>
      <c r="C14" s="15">
        <v>328100</v>
      </c>
    </row>
    <row r="15" spans="2:3" ht="15.75" x14ac:dyDescent="0.25">
      <c r="B15" s="17" t="s">
        <v>101</v>
      </c>
      <c r="C15" s="18">
        <v>29600</v>
      </c>
    </row>
    <row r="16" spans="2:3" ht="15.75" x14ac:dyDescent="0.25">
      <c r="B16" s="17" t="s">
        <v>96</v>
      </c>
      <c r="C16" s="31">
        <v>10</v>
      </c>
    </row>
    <row r="17" spans="2:3" ht="15.75" x14ac:dyDescent="0.25">
      <c r="B17" s="17" t="s">
        <v>43</v>
      </c>
      <c r="C17" s="18">
        <v>296000</v>
      </c>
    </row>
    <row r="18" spans="2:3" ht="15.75" x14ac:dyDescent="0.25">
      <c r="B18" s="17" t="s">
        <v>45</v>
      </c>
      <c r="C18" s="18">
        <v>30929.166666666668</v>
      </c>
    </row>
    <row r="19" spans="2:3" ht="15.75" x14ac:dyDescent="0.25">
      <c r="B19" s="17" t="s">
        <v>46</v>
      </c>
      <c r="C19" s="31">
        <v>48</v>
      </c>
    </row>
    <row r="20" spans="2:3" ht="15.75" x14ac:dyDescent="0.25">
      <c r="B20" s="12" t="s">
        <v>44</v>
      </c>
      <c r="C20" s="11">
        <v>1484600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70C0"/>
  </sheetPr>
  <dimension ref="B2:C62"/>
  <sheetViews>
    <sheetView workbookViewId="0">
      <selection activeCell="B20" sqref="B20"/>
    </sheetView>
  </sheetViews>
  <sheetFormatPr baseColWidth="10" defaultRowHeight="15" x14ac:dyDescent="0.25"/>
  <cols>
    <col min="1" max="1" width="5" customWidth="1"/>
    <col min="2" max="2" width="18.5703125" bestFit="1" customWidth="1"/>
  </cols>
  <sheetData>
    <row r="2" spans="2:3" ht="15.75" x14ac:dyDescent="0.25">
      <c r="B2" s="2" t="s">
        <v>47</v>
      </c>
      <c r="C2" s="2" t="s">
        <v>7</v>
      </c>
    </row>
    <row r="3" spans="2:3" ht="15.75" x14ac:dyDescent="0.25">
      <c r="B3" s="21" t="s">
        <v>135</v>
      </c>
      <c r="C3" s="15">
        <v>20000</v>
      </c>
    </row>
    <row r="4" spans="2:3" ht="15.75" x14ac:dyDescent="0.25">
      <c r="B4" s="21" t="s">
        <v>48</v>
      </c>
      <c r="C4" s="15">
        <v>35000</v>
      </c>
    </row>
    <row r="5" spans="2:3" ht="15.75" x14ac:dyDescent="0.25">
      <c r="B5" s="21" t="s">
        <v>124</v>
      </c>
      <c r="C5" s="15">
        <v>55000</v>
      </c>
    </row>
    <row r="6" spans="2:3" ht="15.75" x14ac:dyDescent="0.25">
      <c r="B6" s="21" t="s">
        <v>113</v>
      </c>
      <c r="C6" s="32">
        <v>2</v>
      </c>
    </row>
    <row r="7" spans="2:3" ht="15.75" x14ac:dyDescent="0.25">
      <c r="B7" s="21" t="s">
        <v>102</v>
      </c>
      <c r="C7" s="15">
        <v>27500</v>
      </c>
    </row>
    <row r="8" spans="2:3" ht="15.75" x14ac:dyDescent="0.25">
      <c r="B8" s="21" t="s">
        <v>136</v>
      </c>
      <c r="C8" s="15">
        <v>18100</v>
      </c>
    </row>
    <row r="9" spans="2:3" ht="15.75" x14ac:dyDescent="0.25">
      <c r="B9" s="21" t="s">
        <v>49</v>
      </c>
      <c r="C9" s="15">
        <v>45000</v>
      </c>
    </row>
    <row r="10" spans="2:3" ht="15.75" x14ac:dyDescent="0.25">
      <c r="B10" s="21" t="s">
        <v>125</v>
      </c>
      <c r="C10" s="15">
        <v>250100</v>
      </c>
    </row>
    <row r="11" spans="2:3" ht="15.75" x14ac:dyDescent="0.25">
      <c r="B11" s="21" t="s">
        <v>114</v>
      </c>
      <c r="C11" s="32">
        <v>7</v>
      </c>
    </row>
    <row r="12" spans="2:3" ht="15.75" x14ac:dyDescent="0.25">
      <c r="B12" s="21" t="s">
        <v>103</v>
      </c>
      <c r="C12" s="15">
        <v>35728.571428571428</v>
      </c>
    </row>
    <row r="13" spans="2:3" ht="15.75" x14ac:dyDescent="0.25">
      <c r="B13" s="21" t="s">
        <v>137</v>
      </c>
      <c r="C13" s="15">
        <v>18100</v>
      </c>
    </row>
    <row r="14" spans="2:3" ht="15.75" x14ac:dyDescent="0.25">
      <c r="B14" s="21" t="s">
        <v>50</v>
      </c>
      <c r="C14" s="15">
        <v>42000</v>
      </c>
    </row>
    <row r="15" spans="2:3" ht="15.75" x14ac:dyDescent="0.25">
      <c r="B15" s="21" t="s">
        <v>126</v>
      </c>
      <c r="C15" s="15">
        <v>80100</v>
      </c>
    </row>
    <row r="16" spans="2:3" ht="15.75" x14ac:dyDescent="0.25">
      <c r="B16" s="21" t="s">
        <v>115</v>
      </c>
      <c r="C16" s="32">
        <v>3</v>
      </c>
    </row>
    <row r="17" spans="2:3" ht="15.75" x14ac:dyDescent="0.25">
      <c r="B17" s="21" t="s">
        <v>104</v>
      </c>
      <c r="C17" s="15">
        <v>26700</v>
      </c>
    </row>
    <row r="18" spans="2:3" ht="15.75" x14ac:dyDescent="0.25">
      <c r="B18" s="21" t="s">
        <v>138</v>
      </c>
      <c r="C18" s="15">
        <v>35000</v>
      </c>
    </row>
    <row r="19" spans="2:3" ht="15.75" x14ac:dyDescent="0.25">
      <c r="B19" s="21" t="s">
        <v>51</v>
      </c>
      <c r="C19" s="15">
        <v>48900</v>
      </c>
    </row>
    <row r="20" spans="2:3" ht="15.75" x14ac:dyDescent="0.25">
      <c r="B20" s="21" t="s">
        <v>127</v>
      </c>
      <c r="C20" s="15">
        <v>205900</v>
      </c>
    </row>
    <row r="21" spans="2:3" ht="15.75" x14ac:dyDescent="0.25">
      <c r="B21" s="21" t="s">
        <v>116</v>
      </c>
      <c r="C21" s="32">
        <v>5</v>
      </c>
    </row>
    <row r="22" spans="2:3" ht="15.75" x14ac:dyDescent="0.25">
      <c r="B22" s="21" t="s">
        <v>105</v>
      </c>
      <c r="C22" s="15">
        <v>41180</v>
      </c>
    </row>
    <row r="23" spans="2:3" ht="15.75" x14ac:dyDescent="0.25">
      <c r="B23" s="21" t="s">
        <v>139</v>
      </c>
      <c r="C23" s="15">
        <v>12000</v>
      </c>
    </row>
    <row r="24" spans="2:3" ht="15.75" x14ac:dyDescent="0.25">
      <c r="B24" s="21" t="s">
        <v>52</v>
      </c>
      <c r="C24" s="15">
        <v>48900</v>
      </c>
    </row>
    <row r="25" spans="2:3" ht="15.75" x14ac:dyDescent="0.25">
      <c r="B25" s="21" t="s">
        <v>128</v>
      </c>
      <c r="C25" s="15">
        <v>191300</v>
      </c>
    </row>
    <row r="26" spans="2:3" ht="15.75" x14ac:dyDescent="0.25">
      <c r="B26" s="21" t="s">
        <v>117</v>
      </c>
      <c r="C26" s="32">
        <v>6</v>
      </c>
    </row>
    <row r="27" spans="2:3" ht="15.75" x14ac:dyDescent="0.25">
      <c r="B27" s="21" t="s">
        <v>106</v>
      </c>
      <c r="C27" s="15">
        <v>31883.333333333332</v>
      </c>
    </row>
    <row r="28" spans="2:3" ht="15.75" x14ac:dyDescent="0.25">
      <c r="B28" s="21" t="s">
        <v>140</v>
      </c>
      <c r="C28" s="15">
        <v>12000</v>
      </c>
    </row>
    <row r="29" spans="2:3" ht="15.75" x14ac:dyDescent="0.25">
      <c r="B29" s="21" t="s">
        <v>53</v>
      </c>
      <c r="C29" s="15">
        <v>45000</v>
      </c>
    </row>
    <row r="30" spans="2:3" ht="15.75" x14ac:dyDescent="0.25">
      <c r="B30" s="21" t="s">
        <v>129</v>
      </c>
      <c r="C30" s="15">
        <v>161000</v>
      </c>
    </row>
    <row r="31" spans="2:3" ht="15.75" x14ac:dyDescent="0.25">
      <c r="B31" s="21" t="s">
        <v>118</v>
      </c>
      <c r="C31" s="32">
        <v>6</v>
      </c>
    </row>
    <row r="32" spans="2:3" ht="15.75" x14ac:dyDescent="0.25">
      <c r="B32" s="21" t="s">
        <v>107</v>
      </c>
      <c r="C32" s="15">
        <v>26833.333333333332</v>
      </c>
    </row>
    <row r="33" spans="2:3" ht="15.75" x14ac:dyDescent="0.25">
      <c r="B33" s="21" t="s">
        <v>141</v>
      </c>
      <c r="C33" s="15">
        <v>12000</v>
      </c>
    </row>
    <row r="34" spans="2:3" ht="15.75" x14ac:dyDescent="0.25">
      <c r="B34" s="21" t="s">
        <v>54</v>
      </c>
      <c r="C34" s="15">
        <v>32500</v>
      </c>
    </row>
    <row r="35" spans="2:3" ht="15.75" x14ac:dyDescent="0.25">
      <c r="B35" s="21" t="s">
        <v>130</v>
      </c>
      <c r="C35" s="15">
        <v>77000</v>
      </c>
    </row>
    <row r="36" spans="2:3" ht="15.75" x14ac:dyDescent="0.25">
      <c r="B36" s="21" t="s">
        <v>119</v>
      </c>
      <c r="C36" s="32">
        <v>3</v>
      </c>
    </row>
    <row r="37" spans="2:3" ht="15.75" x14ac:dyDescent="0.25">
      <c r="B37" s="21" t="s">
        <v>108</v>
      </c>
      <c r="C37" s="15">
        <v>25666.666666666668</v>
      </c>
    </row>
    <row r="38" spans="2:3" ht="15.75" x14ac:dyDescent="0.25">
      <c r="B38" s="21" t="s">
        <v>142</v>
      </c>
      <c r="C38" s="15">
        <v>12000</v>
      </c>
    </row>
    <row r="39" spans="2:3" ht="15.75" x14ac:dyDescent="0.25">
      <c r="B39" s="21" t="s">
        <v>55</v>
      </c>
      <c r="C39" s="15">
        <v>39000</v>
      </c>
    </row>
    <row r="40" spans="2:3" ht="15.75" x14ac:dyDescent="0.25">
      <c r="B40" s="21" t="s">
        <v>131</v>
      </c>
      <c r="C40" s="15">
        <v>86000</v>
      </c>
    </row>
    <row r="41" spans="2:3" ht="15.75" x14ac:dyDescent="0.25">
      <c r="B41" s="21" t="s">
        <v>120</v>
      </c>
      <c r="C41" s="32">
        <v>3</v>
      </c>
    </row>
    <row r="42" spans="2:3" ht="15.75" x14ac:dyDescent="0.25">
      <c r="B42" s="21" t="s">
        <v>109</v>
      </c>
      <c r="C42" s="15">
        <v>28666.666666666668</v>
      </c>
    </row>
    <row r="43" spans="2:3" ht="15.75" x14ac:dyDescent="0.25">
      <c r="B43" s="21" t="s">
        <v>143</v>
      </c>
      <c r="C43" s="15">
        <v>12000</v>
      </c>
    </row>
    <row r="44" spans="2:3" ht="15.75" x14ac:dyDescent="0.25">
      <c r="B44" s="21" t="s">
        <v>56</v>
      </c>
      <c r="C44" s="15">
        <v>39000</v>
      </c>
    </row>
    <row r="45" spans="2:3" ht="15.75" x14ac:dyDescent="0.25">
      <c r="B45" s="21" t="s">
        <v>132</v>
      </c>
      <c r="C45" s="15">
        <v>169200</v>
      </c>
    </row>
    <row r="46" spans="2:3" ht="15.75" x14ac:dyDescent="0.25">
      <c r="B46" s="21" t="s">
        <v>121</v>
      </c>
      <c r="C46" s="32">
        <v>6</v>
      </c>
    </row>
    <row r="47" spans="2:3" ht="15.75" x14ac:dyDescent="0.25">
      <c r="B47" s="21" t="s">
        <v>110</v>
      </c>
      <c r="C47" s="15">
        <v>28200</v>
      </c>
    </row>
    <row r="48" spans="2:3" ht="15.75" x14ac:dyDescent="0.25">
      <c r="B48" s="21" t="s">
        <v>144</v>
      </c>
      <c r="C48" s="15">
        <v>19200</v>
      </c>
    </row>
    <row r="49" spans="2:3" ht="15.75" x14ac:dyDescent="0.25">
      <c r="B49" s="21" t="s">
        <v>57</v>
      </c>
      <c r="C49" s="15">
        <v>42000</v>
      </c>
    </row>
    <row r="50" spans="2:3" ht="15.75" x14ac:dyDescent="0.25">
      <c r="B50" s="21" t="s">
        <v>133</v>
      </c>
      <c r="C50" s="15">
        <v>190900</v>
      </c>
    </row>
    <row r="51" spans="2:3" ht="15.75" x14ac:dyDescent="0.25">
      <c r="B51" s="21" t="s">
        <v>122</v>
      </c>
      <c r="C51" s="32">
        <v>6</v>
      </c>
    </row>
    <row r="52" spans="2:3" ht="15.75" x14ac:dyDescent="0.25">
      <c r="B52" s="21" t="s">
        <v>111</v>
      </c>
      <c r="C52" s="15">
        <v>31816.666666666668</v>
      </c>
    </row>
    <row r="53" spans="2:3" ht="15.75" x14ac:dyDescent="0.25">
      <c r="B53" s="22" t="s">
        <v>145</v>
      </c>
      <c r="C53" s="18">
        <v>18100</v>
      </c>
    </row>
    <row r="54" spans="2:3" ht="15.75" x14ac:dyDescent="0.25">
      <c r="B54" s="22" t="s">
        <v>58</v>
      </c>
      <c r="C54" s="18">
        <v>18100</v>
      </c>
    </row>
    <row r="55" spans="2:3" ht="15.75" x14ac:dyDescent="0.25">
      <c r="B55" s="22" t="s">
        <v>134</v>
      </c>
      <c r="C55" s="18">
        <v>18100</v>
      </c>
    </row>
    <row r="56" spans="2:3" ht="15.75" x14ac:dyDescent="0.25">
      <c r="B56" s="22" t="s">
        <v>123</v>
      </c>
      <c r="C56" s="31">
        <v>1</v>
      </c>
    </row>
    <row r="57" spans="2:3" ht="15.75" x14ac:dyDescent="0.25">
      <c r="B57" s="22" t="s">
        <v>112</v>
      </c>
      <c r="C57" s="18">
        <v>18100</v>
      </c>
    </row>
    <row r="58" spans="2:3" ht="15.75" x14ac:dyDescent="0.25">
      <c r="B58" s="22" t="s">
        <v>72</v>
      </c>
      <c r="C58" s="18">
        <v>12000</v>
      </c>
    </row>
    <row r="59" spans="2:3" ht="15.75" x14ac:dyDescent="0.25">
      <c r="B59" s="22" t="s">
        <v>59</v>
      </c>
      <c r="C59" s="18">
        <v>48900</v>
      </c>
    </row>
    <row r="60" spans="2:3" ht="15.75" x14ac:dyDescent="0.25">
      <c r="B60" s="22" t="s">
        <v>44</v>
      </c>
      <c r="C60" s="18">
        <v>1484600</v>
      </c>
    </row>
    <row r="61" spans="2:3" ht="15.75" x14ac:dyDescent="0.25">
      <c r="B61" s="22" t="s">
        <v>46</v>
      </c>
      <c r="C61" s="31">
        <v>48</v>
      </c>
    </row>
    <row r="62" spans="2:3" ht="15.75" x14ac:dyDescent="0.25">
      <c r="B62" s="20" t="s">
        <v>45</v>
      </c>
      <c r="C62" s="11">
        <v>30929.166666666668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Hoja 1</vt:lpstr>
      <vt:lpstr>R1</vt:lpstr>
      <vt:lpstr>R2</vt:lpstr>
      <vt:lpstr>R3</vt:lpstr>
      <vt:lpstr>R4</vt:lpstr>
      <vt:lpstr>R5</vt:lpstr>
      <vt:lpstr>R6</vt:lpstr>
      <vt:lpstr>R7</vt:lpstr>
      <vt:lpstr>R8</vt:lpstr>
      <vt:lpstr>R9</vt:lpstr>
      <vt:lpstr>R10</vt:lpstr>
      <vt:lpstr>'Hoja 1'!ventas13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Ayden Leon</dc:creator>
  <cp:lastModifiedBy>Aida Mendieta Hurtado</cp:lastModifiedBy>
  <dcterms:created xsi:type="dcterms:W3CDTF">2016-07-18T23:00:51Z</dcterms:created>
  <dcterms:modified xsi:type="dcterms:W3CDTF">2026-04-13T23:16:54Z</dcterms:modified>
</cp:coreProperties>
</file>