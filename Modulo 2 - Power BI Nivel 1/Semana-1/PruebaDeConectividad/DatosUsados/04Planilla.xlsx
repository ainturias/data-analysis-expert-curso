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da\Documents\Fernando\CURSO_EXCEL_NIVEL_1_\"/>
    </mc:Choice>
  </mc:AlternateContent>
  <xr:revisionPtr revIDLastSave="0" documentId="13_ncr:1_{BFEBD3F5-1680-4B79-9AED-E29FDB43635A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HojaExcel" sheetId="8" r:id="rId1"/>
    <sheet name="Hoja1" sheetId="3" state="hidden" r:id="rId2"/>
  </sheets>
  <externalReferences>
    <externalReference r:id="rId3"/>
    <externalReference r:id="rId4"/>
  </externalReferences>
  <definedNames>
    <definedName name="listado">[1]CLIENTES!$B$4:$B$24</definedName>
    <definedName name="Range1">[2]comparar!$D$2:$D$8</definedName>
    <definedName name="Range2">[2]comparar!$E$2:$E$8</definedName>
    <definedName name="Table1">[2]Hoja1!$G$3:$H$9</definedName>
    <definedName name="Table2">[2]Hoja1!$J$3:$K$8</definedName>
    <definedName name="Value">[2]comparar!$B$1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G3" i="3"/>
</calcChain>
</file>

<file path=xl/sharedStrings.xml><?xml version="1.0" encoding="utf-8"?>
<sst xmlns="http://schemas.openxmlformats.org/spreadsheetml/2006/main" count="149" uniqueCount="82">
  <si>
    <t>CODIGO</t>
  </si>
  <si>
    <t>CATEG</t>
  </si>
  <si>
    <t>97CC0001</t>
  </si>
  <si>
    <t>Olivares A., José</t>
  </si>
  <si>
    <t>C</t>
  </si>
  <si>
    <t>97CC0002</t>
  </si>
  <si>
    <t>Apari Ch., Herles</t>
  </si>
  <si>
    <t>97CC0003</t>
  </si>
  <si>
    <t>D</t>
  </si>
  <si>
    <t>97CC0004</t>
  </si>
  <si>
    <t>Palacios M. Victor</t>
  </si>
  <si>
    <t>97CC0005</t>
  </si>
  <si>
    <t>Encalada D., Manuel</t>
  </si>
  <si>
    <t>A</t>
  </si>
  <si>
    <t>97CC0006</t>
  </si>
  <si>
    <t>Rivera S. Juan</t>
  </si>
  <si>
    <t>97CC0007</t>
  </si>
  <si>
    <t>Mori M. Juan</t>
  </si>
  <si>
    <t>97CC0008</t>
  </si>
  <si>
    <t>Salas Z., Martín</t>
  </si>
  <si>
    <t>97CC0009</t>
  </si>
  <si>
    <t>Vera R. Marcos</t>
  </si>
  <si>
    <t>97CC0010</t>
  </si>
  <si>
    <t>Mujica T. Ruben</t>
  </si>
  <si>
    <t>B</t>
  </si>
  <si>
    <t>97CC0011</t>
  </si>
  <si>
    <t>Cardenas R. Nelson</t>
  </si>
  <si>
    <t>97CC0012</t>
  </si>
  <si>
    <t>Solis A. Carlos</t>
  </si>
  <si>
    <t>97CC0013</t>
  </si>
  <si>
    <t>Descalzi C. Luis</t>
  </si>
  <si>
    <t>97CC0014</t>
  </si>
  <si>
    <t>Torres V. Rene</t>
  </si>
  <si>
    <t>97CC0015</t>
  </si>
  <si>
    <t>Arévalo S. Fernando</t>
  </si>
  <si>
    <t>97CC0016</t>
  </si>
  <si>
    <t>Matta Z. Pedro</t>
  </si>
  <si>
    <t>97CC0017</t>
  </si>
  <si>
    <t>Oviedo C. Pablo</t>
  </si>
  <si>
    <t>97CC0018</t>
  </si>
  <si>
    <t>Ramos D. Santos</t>
  </si>
  <si>
    <t>97CC0019</t>
  </si>
  <si>
    <t>Pereda F. Martín</t>
  </si>
  <si>
    <t>97CC0020</t>
  </si>
  <si>
    <t>Gonzales S. Rubén</t>
  </si>
  <si>
    <t>97CC0021</t>
  </si>
  <si>
    <t>Matias D. Sandro</t>
  </si>
  <si>
    <t>97CC0022</t>
  </si>
  <si>
    <t>Ramirez R. Andrés</t>
  </si>
  <si>
    <t>97CC0023</t>
  </si>
  <si>
    <t>Castillo J. Manuel</t>
  </si>
  <si>
    <t>97CC0024</t>
  </si>
  <si>
    <t>Quispe H. Carlos</t>
  </si>
  <si>
    <t>97CC0025</t>
  </si>
  <si>
    <t>Gomez G. Cesar</t>
  </si>
  <si>
    <t>CARGO</t>
  </si>
  <si>
    <t>FING</t>
  </si>
  <si>
    <t>Soporte</t>
  </si>
  <si>
    <t>Empleado</t>
  </si>
  <si>
    <t>Asistente</t>
  </si>
  <si>
    <t>Técnico</t>
  </si>
  <si>
    <t>Asesor</t>
  </si>
  <si>
    <t>Quispe R., Cesar</t>
  </si>
  <si>
    <t>HIJOS</t>
  </si>
  <si>
    <t>NOMBRE</t>
  </si>
  <si>
    <t>HORAS
TRABAJADAS</t>
  </si>
  <si>
    <t>CONDICION</t>
  </si>
  <si>
    <t>Estable</t>
  </si>
  <si>
    <t>Contratado</t>
  </si>
  <si>
    <t>Parcial</t>
  </si>
  <si>
    <t>PRODUCTO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</si>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</sst>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-mmm\-yyyy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9" tint="-0.499984740745262"/>
      </left>
      <right style="thin">
        <color theme="9" tint="-0.499984740745262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 style="thin">
        <color theme="9" tint="-0.499984740745262"/>
      </right>
      <top/>
      <bottom/>
      <diagonal/>
    </border>
    <border>
      <left style="medium">
        <color theme="9" tint="-0.499984740745262"/>
      </left>
      <right style="thin">
        <color theme="9" tint="-0.499984740745262"/>
      </right>
      <top/>
      <bottom style="medium">
        <color theme="9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6" xfId="0" applyBorder="1"/>
    <xf numFmtId="0" fontId="4" fillId="2" borderId="6" xfId="0" applyFont="1" applyFill="1" applyBorder="1"/>
    <xf numFmtId="0" fontId="0" fillId="3" borderId="6" xfId="0" applyFill="1" applyBorder="1"/>
    <xf numFmtId="0" fontId="2" fillId="0" borderId="0" xfId="0" applyFont="1" applyFill="1"/>
    <xf numFmtId="164" fontId="2" fillId="0" borderId="0" xfId="0" applyNumberFormat="1" applyFont="1" applyFill="1"/>
    <xf numFmtId="0" fontId="2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2" xfId="0" applyFont="1" applyFill="1" applyBorder="1"/>
    <xf numFmtId="164" fontId="2" fillId="0" borderId="2" xfId="0" applyNumberFormat="1" applyFont="1" applyFill="1" applyBorder="1"/>
    <xf numFmtId="0" fontId="2" fillId="0" borderId="2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4" fillId="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747C79EC-1AFC-4289-A7A9-391E679C5261}"/>
    <cellStyle name="Normal 3" xfId="2" xr:uid="{2AB5514D-A95E-4DE9-AA7F-6F458E85CBAA}"/>
    <cellStyle name="Porcentaje 2" xfId="3" xr:uid="{3565EBD5-7981-4F9D-8643-C8676E986385}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9" tint="-0.499984740745262"/>
        </left>
        <right style="thin">
          <color theme="9" tint="-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\-mmm\-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\-mmm\-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left style="medium">
          <color indexed="64"/>
        </left>
        <top style="medium">
          <color indexed="64"/>
        </top>
      </border>
    </dxf>
  </dxfs>
  <tableStyles count="1" defaultTableStyle="TableStyleMedium9" defaultPivotStyle="PivotStyleLight16">
    <tableStyle name="Invisible" pivot="0" table="0" count="0" xr9:uid="{AFA09153-1FA4-42B1-BC2E-384742EB07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fernando/Documents/Funciones%20de%20Busqueda.xlsx" TargetMode="External"/><Relationship Id="rId1" Type="http://schemas.openxmlformats.org/officeDocument/2006/relationships/externalLinkPath" Target="/Users/fernando/Documents/Funciones%20de%20Busque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fibanez/Documents/RECURSO%20PERSONAL/EXCEL/Nueva%20carpeta%20(2)/ExcelAvanzado8.0/ModuloFunciones/ejemplos%20b&#225;sicos%20de%20b&#250;squeda.xlsx" TargetMode="External"/><Relationship Id="rId1" Type="http://schemas.openxmlformats.org/officeDocument/2006/relationships/externalLinkPath" Target="/Users/fibanez/Documents/RECURSO%20PERSONAL/EXCEL/Nueva%20carpeta%20(2)/ExcelAvanzado8.0/ModuloFunciones/ejemplos%20b&#225;sicos%20de%20b&#250;sque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squeda"/>
      <sheetName val="Ejercicio 1"/>
      <sheetName val="CLIENTES"/>
      <sheetName val="Ejercicio 2"/>
      <sheetName val="validacion"/>
    </sheetNames>
    <sheetDataSet>
      <sheetData sheetId="0" refreshError="1"/>
      <sheetData sheetId="1" refreshError="1"/>
      <sheetData sheetId="2">
        <row r="4">
          <cell r="B4">
            <v>1</v>
          </cell>
        </row>
        <row r="5">
          <cell r="B5">
            <v>2</v>
          </cell>
        </row>
        <row r="6">
          <cell r="B6">
            <v>3</v>
          </cell>
        </row>
        <row r="7">
          <cell r="B7">
            <v>4</v>
          </cell>
        </row>
        <row r="8">
          <cell r="B8">
            <v>5</v>
          </cell>
        </row>
        <row r="9">
          <cell r="B9">
            <v>6</v>
          </cell>
        </row>
        <row r="10">
          <cell r="B10">
            <v>7</v>
          </cell>
        </row>
        <row r="11">
          <cell r="B11">
            <v>8</v>
          </cell>
        </row>
        <row r="12">
          <cell r="B12">
            <v>9</v>
          </cell>
        </row>
        <row r="13">
          <cell r="B13">
            <v>10</v>
          </cell>
        </row>
        <row r="14">
          <cell r="B14">
            <v>11</v>
          </cell>
        </row>
        <row r="15">
          <cell r="B15">
            <v>12</v>
          </cell>
        </row>
        <row r="16">
          <cell r="B16">
            <v>13</v>
          </cell>
        </row>
        <row r="17">
          <cell r="B17">
            <v>14</v>
          </cell>
        </row>
        <row r="18">
          <cell r="B18">
            <v>15</v>
          </cell>
        </row>
        <row r="19">
          <cell r="B19">
            <v>16</v>
          </cell>
        </row>
        <row r="20">
          <cell r="B20">
            <v>17</v>
          </cell>
        </row>
        <row r="21">
          <cell r="B21">
            <v>18</v>
          </cell>
        </row>
        <row r="22">
          <cell r="B22">
            <v>19</v>
          </cell>
        </row>
        <row r="23">
          <cell r="B23">
            <v>20</v>
          </cell>
        </row>
        <row r="24">
          <cell r="B24">
            <v>21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jercicio 1"/>
      <sheetName val="ejercicio2"/>
      <sheetName val="consultav"/>
      <sheetName val="consultah"/>
      <sheetName val="buscar"/>
      <sheetName val="CLIENTES"/>
      <sheetName val="coincidir_índice"/>
      <sheetName val="comparar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James</v>
          </cell>
        </row>
        <row r="2">
          <cell r="D2" t="str">
            <v>Bill</v>
          </cell>
          <cell r="E2">
            <v>50</v>
          </cell>
        </row>
        <row r="3">
          <cell r="D3" t="str">
            <v>Ellen</v>
          </cell>
          <cell r="E3">
            <v>25</v>
          </cell>
        </row>
        <row r="4">
          <cell r="D4" t="str">
            <v>Frank</v>
          </cell>
          <cell r="E4">
            <v>200</v>
          </cell>
        </row>
        <row r="5">
          <cell r="D5" t="str">
            <v>James</v>
          </cell>
          <cell r="E5">
            <v>300</v>
          </cell>
        </row>
        <row r="6">
          <cell r="D6" t="str">
            <v>Jill</v>
          </cell>
          <cell r="E6">
            <v>400</v>
          </cell>
        </row>
        <row r="7">
          <cell r="D7" t="str">
            <v>John</v>
          </cell>
          <cell r="E7">
            <v>100</v>
          </cell>
        </row>
        <row r="8">
          <cell r="D8" t="str">
            <v>Ted</v>
          </cell>
          <cell r="E8">
            <v>150</v>
          </cell>
        </row>
      </sheetData>
      <sheetData sheetId="8">
        <row r="3">
          <cell r="G3">
            <v>0</v>
          </cell>
          <cell r="H3">
            <v>1.4999999999999999E-2</v>
          </cell>
          <cell r="J3">
            <v>0</v>
          </cell>
          <cell r="K3">
            <v>0.02</v>
          </cell>
        </row>
        <row r="4">
          <cell r="G4">
            <v>5000</v>
          </cell>
          <cell r="H4">
            <v>3.2500000000000001E-2</v>
          </cell>
          <cell r="J4">
            <v>50000</v>
          </cell>
          <cell r="K4">
            <v>6.25E-2</v>
          </cell>
        </row>
        <row r="5">
          <cell r="G5">
            <v>10000</v>
          </cell>
          <cell r="H5">
            <v>3.5000000000000003E-2</v>
          </cell>
          <cell r="J5">
            <v>100000</v>
          </cell>
          <cell r="K5">
            <v>7.2499999999999995E-2</v>
          </cell>
        </row>
        <row r="6">
          <cell r="G6">
            <v>20000</v>
          </cell>
          <cell r="H6">
            <v>0.05</v>
          </cell>
          <cell r="J6">
            <v>200000</v>
          </cell>
          <cell r="K6">
            <v>8.2500000000000004E-2</v>
          </cell>
        </row>
        <row r="7">
          <cell r="G7">
            <v>50000</v>
          </cell>
          <cell r="H7">
            <v>0.06</v>
          </cell>
          <cell r="J7">
            <v>300000</v>
          </cell>
          <cell r="K7">
            <v>9.2499999999999999E-2</v>
          </cell>
        </row>
        <row r="8">
          <cell r="G8">
            <v>100000</v>
          </cell>
          <cell r="H8">
            <v>7.0000000000000007E-2</v>
          </cell>
          <cell r="J8">
            <v>500000</v>
          </cell>
          <cell r="K8">
            <v>0.1</v>
          </cell>
        </row>
        <row r="9">
          <cell r="G9">
            <v>250000</v>
          </cell>
          <cell r="H9">
            <v>0.08</v>
          </cell>
        </row>
      </sheetData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71223-D36D-462C-B216-3636FF15A552}" name="Planilla" displayName="Planilla" ref="A1:H26" totalsRowShown="0" headerRowDxfId="0" tableBorderDxfId="9">
  <autoFilter ref="A1:H26" xr:uid="{43171223-D36D-462C-B216-3636FF15A552}"/>
  <tableColumns count="8">
    <tableColumn id="1" xr3:uid="{B01EE28E-8213-4347-B9AC-2F1105B28260}" name="CODIGO" dataDxfId="8"/>
    <tableColumn id="2" xr3:uid="{FA093000-A4ED-494B-ABFB-E97AEBF9C87E}" name="NOMBRE" dataDxfId="7"/>
    <tableColumn id="3" xr3:uid="{E01776E9-941E-42C0-8077-A2DFE42B2E32}" name="CARGO" dataDxfId="6"/>
    <tableColumn id="4" xr3:uid="{6A8CF044-4A98-40B8-BEFF-7B6BA516E1F0}" name="FING" dataDxfId="5"/>
    <tableColumn id="5" xr3:uid="{6289CEDE-6CF8-4572-9664-18199C263A93}" name="CONDICION" dataDxfId="4"/>
    <tableColumn id="6" xr3:uid="{CEF71FA9-80CB-4C92-8A6E-CDAC8C246869}" name="CATEG" dataDxfId="3"/>
    <tableColumn id="7" xr3:uid="{D82E43F3-1D43-43A4-AEB4-CE2F403EF902}" name="HIJOS" dataDxfId="2"/>
    <tableColumn id="8" xr3:uid="{EFA0672C-97D8-449E-A016-737BC557D2AA}" name="HORAS_x000a_TRABAJADA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B98F-08EC-4987-962F-A29410305719}">
  <dimension ref="A1:H26"/>
  <sheetViews>
    <sheetView tabSelected="1" workbookViewId="0">
      <selection activeCell="H8" sqref="H8"/>
    </sheetView>
  </sheetViews>
  <sheetFormatPr baseColWidth="10" defaultRowHeight="12.75" x14ac:dyDescent="0.2"/>
  <cols>
    <col min="2" max="2" width="30.42578125" customWidth="1"/>
    <col min="3" max="3" width="15" customWidth="1"/>
    <col min="4" max="4" width="22.140625" customWidth="1"/>
    <col min="5" max="5" width="16" customWidth="1"/>
    <col min="6" max="6" width="16.42578125" customWidth="1"/>
    <col min="8" max="8" width="21.42578125" customWidth="1"/>
  </cols>
  <sheetData>
    <row r="1" spans="1:8" ht="39" thickBot="1" x14ac:dyDescent="0.25">
      <c r="A1" s="14" t="s">
        <v>0</v>
      </c>
      <c r="B1" s="15" t="s">
        <v>64</v>
      </c>
      <c r="C1" s="15" t="s">
        <v>55</v>
      </c>
      <c r="D1" s="15" t="s">
        <v>56</v>
      </c>
      <c r="E1" s="15" t="s">
        <v>66</v>
      </c>
      <c r="F1" s="15" t="s">
        <v>1</v>
      </c>
      <c r="G1" s="15" t="s">
        <v>63</v>
      </c>
      <c r="H1" s="16" t="s">
        <v>65</v>
      </c>
    </row>
    <row r="2" spans="1:8" x14ac:dyDescent="0.2">
      <c r="A2" s="13" t="s">
        <v>2</v>
      </c>
      <c r="B2" s="4" t="s">
        <v>3</v>
      </c>
      <c r="C2" s="4" t="s">
        <v>57</v>
      </c>
      <c r="D2" s="5">
        <v>35797</v>
      </c>
      <c r="E2" s="5" t="s">
        <v>67</v>
      </c>
      <c r="F2" s="6" t="s">
        <v>4</v>
      </c>
      <c r="G2" s="6">
        <v>2</v>
      </c>
      <c r="H2" s="7">
        <v>200</v>
      </c>
    </row>
    <row r="3" spans="1:8" x14ac:dyDescent="0.2">
      <c r="A3" s="13" t="s">
        <v>5</v>
      </c>
      <c r="B3" s="4" t="s">
        <v>6</v>
      </c>
      <c r="C3" s="4" t="s">
        <v>61</v>
      </c>
      <c r="D3" s="5">
        <v>36101</v>
      </c>
      <c r="E3" s="5" t="s">
        <v>68</v>
      </c>
      <c r="F3" s="6" t="s">
        <v>4</v>
      </c>
      <c r="G3" s="6">
        <v>4</v>
      </c>
      <c r="H3" s="8">
        <v>195</v>
      </c>
    </row>
    <row r="4" spans="1:8" x14ac:dyDescent="0.2">
      <c r="A4" s="13" t="s">
        <v>7</v>
      </c>
      <c r="B4" s="4" t="s">
        <v>62</v>
      </c>
      <c r="C4" s="4" t="s">
        <v>59</v>
      </c>
      <c r="D4" s="5">
        <v>35797</v>
      </c>
      <c r="E4" s="5" t="s">
        <v>69</v>
      </c>
      <c r="F4" s="6" t="s">
        <v>8</v>
      </c>
      <c r="G4" s="6">
        <v>1</v>
      </c>
      <c r="H4" s="8">
        <v>196</v>
      </c>
    </row>
    <row r="5" spans="1:8" x14ac:dyDescent="0.2">
      <c r="A5" s="13" t="s">
        <v>9</v>
      </c>
      <c r="B5" s="4" t="s">
        <v>10</v>
      </c>
      <c r="C5" s="4" t="s">
        <v>57</v>
      </c>
      <c r="D5" s="5">
        <v>36070</v>
      </c>
      <c r="E5" s="5" t="s">
        <v>69</v>
      </c>
      <c r="F5" s="6" t="s">
        <v>8</v>
      </c>
      <c r="G5" s="6">
        <v>0</v>
      </c>
      <c r="H5" s="8">
        <v>210</v>
      </c>
    </row>
    <row r="6" spans="1:8" x14ac:dyDescent="0.2">
      <c r="A6" s="13" t="s">
        <v>11</v>
      </c>
      <c r="B6" s="4" t="s">
        <v>12</v>
      </c>
      <c r="C6" s="4" t="s">
        <v>60</v>
      </c>
      <c r="D6" s="5">
        <v>35797</v>
      </c>
      <c r="E6" s="5" t="s">
        <v>68</v>
      </c>
      <c r="F6" s="6" t="s">
        <v>13</v>
      </c>
      <c r="G6" s="6">
        <v>4</v>
      </c>
      <c r="H6" s="8">
        <v>206</v>
      </c>
    </row>
    <row r="7" spans="1:8" x14ac:dyDescent="0.2">
      <c r="A7" s="13" t="s">
        <v>14</v>
      </c>
      <c r="B7" s="4" t="s">
        <v>15</v>
      </c>
      <c r="C7" s="4" t="s">
        <v>61</v>
      </c>
      <c r="D7" s="5">
        <v>35838</v>
      </c>
      <c r="E7" s="5" t="s">
        <v>68</v>
      </c>
      <c r="F7" s="6" t="s">
        <v>13</v>
      </c>
      <c r="G7" s="6">
        <v>7</v>
      </c>
      <c r="H7" s="8">
        <v>196</v>
      </c>
    </row>
    <row r="8" spans="1:8" x14ac:dyDescent="0.2">
      <c r="A8" s="13" t="s">
        <v>16</v>
      </c>
      <c r="B8" s="4" t="s">
        <v>17</v>
      </c>
      <c r="C8" s="4" t="s">
        <v>61</v>
      </c>
      <c r="D8" s="5">
        <v>36009</v>
      </c>
      <c r="E8" s="5" t="s">
        <v>67</v>
      </c>
      <c r="F8" s="6" t="s">
        <v>13</v>
      </c>
      <c r="G8" s="6">
        <v>6</v>
      </c>
      <c r="H8" s="8">
        <v>192</v>
      </c>
    </row>
    <row r="9" spans="1:8" x14ac:dyDescent="0.2">
      <c r="A9" s="13" t="s">
        <v>18</v>
      </c>
      <c r="B9" s="4" t="s">
        <v>19</v>
      </c>
      <c r="C9" s="4" t="s">
        <v>61</v>
      </c>
      <c r="D9" s="5">
        <v>36162</v>
      </c>
      <c r="E9" s="5" t="s">
        <v>67</v>
      </c>
      <c r="F9" s="6" t="s">
        <v>4</v>
      </c>
      <c r="G9" s="6">
        <v>5</v>
      </c>
      <c r="H9" s="8">
        <v>194</v>
      </c>
    </row>
    <row r="10" spans="1:8" x14ac:dyDescent="0.2">
      <c r="A10" s="13" t="s">
        <v>20</v>
      </c>
      <c r="B10" s="4" t="s">
        <v>21</v>
      </c>
      <c r="C10" s="4" t="s">
        <v>59</v>
      </c>
      <c r="D10" s="5">
        <v>36221</v>
      </c>
      <c r="E10" s="5" t="s">
        <v>67</v>
      </c>
      <c r="F10" s="6" t="s">
        <v>4</v>
      </c>
      <c r="G10" s="6">
        <v>9</v>
      </c>
      <c r="H10" s="8">
        <v>195</v>
      </c>
    </row>
    <row r="11" spans="1:8" x14ac:dyDescent="0.2">
      <c r="A11" s="13" t="s">
        <v>22</v>
      </c>
      <c r="B11" s="4" t="s">
        <v>23</v>
      </c>
      <c r="C11" s="4" t="s">
        <v>57</v>
      </c>
      <c r="D11" s="5">
        <v>36405</v>
      </c>
      <c r="E11" s="5" t="s">
        <v>68</v>
      </c>
      <c r="F11" s="6" t="s">
        <v>24</v>
      </c>
      <c r="G11" s="6">
        <v>8</v>
      </c>
      <c r="H11" s="8">
        <v>196</v>
      </c>
    </row>
    <row r="12" spans="1:8" x14ac:dyDescent="0.2">
      <c r="A12" s="13" t="s">
        <v>25</v>
      </c>
      <c r="B12" s="4" t="s">
        <v>26</v>
      </c>
      <c r="C12" s="4" t="s">
        <v>59</v>
      </c>
      <c r="D12" s="5">
        <v>36868</v>
      </c>
      <c r="E12" s="5" t="s">
        <v>68</v>
      </c>
      <c r="F12" s="6" t="s">
        <v>24</v>
      </c>
      <c r="G12" s="6">
        <v>2</v>
      </c>
      <c r="H12" s="8">
        <v>205</v>
      </c>
    </row>
    <row r="13" spans="1:8" x14ac:dyDescent="0.2">
      <c r="A13" s="13" t="s">
        <v>27</v>
      </c>
      <c r="B13" s="4" t="s">
        <v>28</v>
      </c>
      <c r="C13" s="4" t="s">
        <v>60</v>
      </c>
      <c r="D13" s="5">
        <v>36742</v>
      </c>
      <c r="E13" s="5" t="s">
        <v>69</v>
      </c>
      <c r="F13" s="6" t="s">
        <v>24</v>
      </c>
      <c r="G13" s="6">
        <v>1</v>
      </c>
      <c r="H13" s="8">
        <v>206</v>
      </c>
    </row>
    <row r="14" spans="1:8" x14ac:dyDescent="0.2">
      <c r="A14" s="13" t="s">
        <v>29</v>
      </c>
      <c r="B14" s="4" t="s">
        <v>30</v>
      </c>
      <c r="C14" s="4" t="s">
        <v>60</v>
      </c>
      <c r="D14" s="5">
        <v>36896</v>
      </c>
      <c r="E14" s="5" t="s">
        <v>69</v>
      </c>
      <c r="F14" s="6" t="s">
        <v>13</v>
      </c>
      <c r="G14" s="6">
        <v>5</v>
      </c>
      <c r="H14" s="8">
        <v>200</v>
      </c>
    </row>
    <row r="15" spans="1:8" x14ac:dyDescent="0.2">
      <c r="A15" s="13" t="s">
        <v>31</v>
      </c>
      <c r="B15" s="4" t="s">
        <v>32</v>
      </c>
      <c r="C15" s="4" t="s">
        <v>61</v>
      </c>
      <c r="D15" s="5">
        <v>37505</v>
      </c>
      <c r="E15" s="5" t="s">
        <v>67</v>
      </c>
      <c r="F15" s="6" t="s">
        <v>13</v>
      </c>
      <c r="G15" s="6">
        <v>4</v>
      </c>
      <c r="H15" s="8">
        <v>216</v>
      </c>
    </row>
    <row r="16" spans="1:8" x14ac:dyDescent="0.2">
      <c r="A16" s="13" t="s">
        <v>33</v>
      </c>
      <c r="B16" s="4" t="s">
        <v>34</v>
      </c>
      <c r="C16" s="4" t="s">
        <v>60</v>
      </c>
      <c r="D16" s="5">
        <v>37352</v>
      </c>
      <c r="E16" s="5" t="s">
        <v>67</v>
      </c>
      <c r="F16" s="6" t="s">
        <v>24</v>
      </c>
      <c r="G16" s="6">
        <v>7</v>
      </c>
      <c r="H16" s="8">
        <v>208</v>
      </c>
    </row>
    <row r="17" spans="1:8" x14ac:dyDescent="0.2">
      <c r="A17" s="13" t="s">
        <v>35</v>
      </c>
      <c r="B17" s="4" t="s">
        <v>36</v>
      </c>
      <c r="C17" s="4" t="s">
        <v>59</v>
      </c>
      <c r="D17" s="5">
        <v>37476</v>
      </c>
      <c r="E17" s="5" t="s">
        <v>68</v>
      </c>
      <c r="F17" s="6" t="s">
        <v>24</v>
      </c>
      <c r="G17" s="6">
        <v>6</v>
      </c>
      <c r="H17" s="8">
        <v>210</v>
      </c>
    </row>
    <row r="18" spans="1:8" x14ac:dyDescent="0.2">
      <c r="A18" s="13" t="s">
        <v>37</v>
      </c>
      <c r="B18" s="4" t="s">
        <v>38</v>
      </c>
      <c r="C18" s="4" t="s">
        <v>57</v>
      </c>
      <c r="D18" s="5">
        <v>37262</v>
      </c>
      <c r="E18" s="5" t="s">
        <v>68</v>
      </c>
      <c r="F18" s="6" t="s">
        <v>13</v>
      </c>
      <c r="G18" s="6">
        <v>0</v>
      </c>
      <c r="H18" s="8">
        <v>215</v>
      </c>
    </row>
    <row r="19" spans="1:8" x14ac:dyDescent="0.2">
      <c r="A19" s="13" t="s">
        <v>39</v>
      </c>
      <c r="B19" s="4" t="s">
        <v>40</v>
      </c>
      <c r="C19" s="4" t="s">
        <v>59</v>
      </c>
      <c r="D19" s="5">
        <v>37382</v>
      </c>
      <c r="E19" s="5" t="s">
        <v>69</v>
      </c>
      <c r="F19" s="6" t="s">
        <v>4</v>
      </c>
      <c r="G19" s="6">
        <v>3</v>
      </c>
      <c r="H19" s="8">
        <v>213</v>
      </c>
    </row>
    <row r="20" spans="1:8" x14ac:dyDescent="0.2">
      <c r="A20" s="13" t="s">
        <v>41</v>
      </c>
      <c r="B20" s="4" t="s">
        <v>42</v>
      </c>
      <c r="C20" s="4" t="s">
        <v>61</v>
      </c>
      <c r="D20" s="5">
        <v>37566</v>
      </c>
      <c r="E20" s="5" t="s">
        <v>67</v>
      </c>
      <c r="F20" s="6" t="s">
        <v>8</v>
      </c>
      <c r="G20" s="6">
        <v>4</v>
      </c>
      <c r="H20" s="8">
        <v>200</v>
      </c>
    </row>
    <row r="21" spans="1:8" x14ac:dyDescent="0.2">
      <c r="A21" s="13" t="s">
        <v>43</v>
      </c>
      <c r="B21" s="4" t="s">
        <v>44</v>
      </c>
      <c r="C21" s="4" t="s">
        <v>58</v>
      </c>
      <c r="D21" s="5">
        <v>37413</v>
      </c>
      <c r="E21" s="5" t="s">
        <v>68</v>
      </c>
      <c r="F21" s="6" t="s">
        <v>8</v>
      </c>
      <c r="G21" s="6">
        <v>4</v>
      </c>
      <c r="H21" s="8">
        <v>199</v>
      </c>
    </row>
    <row r="22" spans="1:8" x14ac:dyDescent="0.2">
      <c r="A22" s="13" t="s">
        <v>45</v>
      </c>
      <c r="B22" s="4" t="s">
        <v>46</v>
      </c>
      <c r="C22" s="4" t="s">
        <v>58</v>
      </c>
      <c r="D22" s="5">
        <v>37808</v>
      </c>
      <c r="E22" s="5" t="s">
        <v>67</v>
      </c>
      <c r="F22" s="6" t="s">
        <v>8</v>
      </c>
      <c r="G22" s="6">
        <v>2</v>
      </c>
      <c r="H22" s="8">
        <v>215</v>
      </c>
    </row>
    <row r="23" spans="1:8" x14ac:dyDescent="0.2">
      <c r="A23" s="13" t="s">
        <v>47</v>
      </c>
      <c r="B23" s="4" t="s">
        <v>48</v>
      </c>
      <c r="C23" s="4" t="s">
        <v>58</v>
      </c>
      <c r="D23" s="5">
        <v>37840</v>
      </c>
      <c r="E23" s="5" t="s">
        <v>68</v>
      </c>
      <c r="F23" s="6" t="s">
        <v>4</v>
      </c>
      <c r="G23" s="6">
        <v>2</v>
      </c>
      <c r="H23" s="8">
        <v>192</v>
      </c>
    </row>
    <row r="24" spans="1:8" x14ac:dyDescent="0.2">
      <c r="A24" s="13" t="s">
        <v>49</v>
      </c>
      <c r="B24" s="4" t="s">
        <v>50</v>
      </c>
      <c r="C24" s="4" t="s">
        <v>61</v>
      </c>
      <c r="D24" s="5">
        <v>37902</v>
      </c>
      <c r="E24" s="5" t="s">
        <v>67</v>
      </c>
      <c r="F24" s="6" t="s">
        <v>4</v>
      </c>
      <c r="G24" s="6">
        <v>5</v>
      </c>
      <c r="H24" s="8">
        <v>198</v>
      </c>
    </row>
    <row r="25" spans="1:8" x14ac:dyDescent="0.2">
      <c r="A25" s="13" t="s">
        <v>51</v>
      </c>
      <c r="B25" s="4" t="s">
        <v>52</v>
      </c>
      <c r="C25" s="4" t="s">
        <v>59</v>
      </c>
      <c r="D25" s="5">
        <v>37630</v>
      </c>
      <c r="E25" s="5" t="s">
        <v>67</v>
      </c>
      <c r="F25" s="6" t="s">
        <v>4</v>
      </c>
      <c r="G25" s="6">
        <v>5</v>
      </c>
      <c r="H25" s="8">
        <v>203</v>
      </c>
    </row>
    <row r="26" spans="1:8" ht="13.5" thickBot="1" x14ac:dyDescent="0.25">
      <c r="A26" s="9" t="s">
        <v>53</v>
      </c>
      <c r="B26" s="9" t="s">
        <v>54</v>
      </c>
      <c r="C26" s="9" t="s">
        <v>57</v>
      </c>
      <c r="D26" s="10">
        <v>37935</v>
      </c>
      <c r="E26" s="10" t="s">
        <v>67</v>
      </c>
      <c r="F26" s="11" t="s">
        <v>13</v>
      </c>
      <c r="G26" s="11">
        <v>0</v>
      </c>
      <c r="H26" s="12">
        <v>205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2"/>
  <sheetViews>
    <sheetView zoomScale="160" zoomScaleNormal="160" workbookViewId="0">
      <selection activeCell="B7" sqref="B7"/>
    </sheetView>
  </sheetViews>
  <sheetFormatPr baseColWidth="10" defaultRowHeight="12.75" x14ac:dyDescent="0.2"/>
  <cols>
    <col min="2" max="2" width="8.42578125" bestFit="1" customWidth="1"/>
    <col min="4" max="4" width="8" bestFit="1" customWidth="1"/>
  </cols>
  <sheetData>
    <row r="2" spans="2:7" x14ac:dyDescent="0.2">
      <c r="B2" s="2" t="s">
        <v>0</v>
      </c>
      <c r="C2" s="2" t="s">
        <v>70</v>
      </c>
      <c r="D2" s="2" t="s">
        <v>81</v>
      </c>
      <c r="F2" s="2" t="s">
        <v>0</v>
      </c>
      <c r="G2" s="3">
        <v>3</v>
      </c>
    </row>
    <row r="3" spans="2:7" x14ac:dyDescent="0.2">
      <c r="B3" s="1">
        <v>1</v>
      </c>
      <c r="C3" s="1" t="s">
        <v>71</v>
      </c>
      <c r="D3" s="1">
        <v>1343</v>
      </c>
      <c r="F3" s="2" t="s">
        <v>70</v>
      </c>
      <c r="G3" s="1" t="str">
        <f>IFERROR(VLOOKUP(G2,B3:D12,2,0),"No existe")</f>
        <v>Producto 3</v>
      </c>
    </row>
    <row r="4" spans="2:7" x14ac:dyDescent="0.2">
      <c r="B4" s="1">
        <v>2</v>
      </c>
      <c r="C4" s="1" t="s">
        <v>72</v>
      </c>
      <c r="D4" s="1">
        <v>234</v>
      </c>
      <c r="F4" s="2" t="s">
        <v>81</v>
      </c>
      <c r="G4" s="1">
        <f>IFERROR(VLOOKUP(G2,B3:D12,3,0),"No existe")</f>
        <v>3424</v>
      </c>
    </row>
    <row r="5" spans="2:7" x14ac:dyDescent="0.2">
      <c r="B5" s="1">
        <v>3</v>
      </c>
      <c r="C5" s="1" t="s">
        <v>73</v>
      </c>
      <c r="D5" s="1">
        <v>3424</v>
      </c>
    </row>
    <row r="6" spans="2:7" x14ac:dyDescent="0.2">
      <c r="B6" s="1">
        <v>4</v>
      </c>
      <c r="C6" s="1" t="s">
        <v>74</v>
      </c>
      <c r="D6" s="1">
        <v>345</v>
      </c>
    </row>
    <row r="7" spans="2:7" x14ac:dyDescent="0.2">
      <c r="B7" s="1">
        <v>5</v>
      </c>
      <c r="C7" s="1" t="s">
        <v>75</v>
      </c>
      <c r="D7" s="1">
        <v>435</v>
      </c>
    </row>
    <row r="8" spans="2:7" x14ac:dyDescent="0.2">
      <c r="B8" s="1">
        <v>6</v>
      </c>
      <c r="C8" s="1" t="s">
        <v>76</v>
      </c>
      <c r="D8" s="1">
        <v>56</v>
      </c>
    </row>
    <row r="9" spans="2:7" x14ac:dyDescent="0.2">
      <c r="B9" s="1">
        <v>7</v>
      </c>
      <c r="C9" s="1" t="s">
        <v>77</v>
      </c>
      <c r="D9" s="1">
        <v>64</v>
      </c>
    </row>
    <row r="10" spans="2:7" x14ac:dyDescent="0.2">
      <c r="B10" s="1">
        <v>8</v>
      </c>
      <c r="C10" s="1" t="s">
        <v>78</v>
      </c>
      <c r="D10" s="1">
        <v>345</v>
      </c>
    </row>
    <row r="11" spans="2:7" x14ac:dyDescent="0.2">
      <c r="B11" s="1">
        <v>9</v>
      </c>
      <c r="C11" s="1" t="s">
        <v>79</v>
      </c>
      <c r="D11" s="1">
        <v>355</v>
      </c>
    </row>
    <row r="12" spans="2:7" x14ac:dyDescent="0.2">
      <c r="B12" s="1">
        <v>10</v>
      </c>
      <c r="C12" s="1" t="s">
        <v>80</v>
      </c>
      <c r="D12" s="1">
        <v>3453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HojaExcel</vt:lpstr>
      <vt:lpstr>Hoja1</vt:lpstr>
    </vt:vector>
  </TitlesOfParts>
  <Company>cmos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Oceda Samaniego</dc:creator>
  <cp:lastModifiedBy>Aida Mendieta Hurtado</cp:lastModifiedBy>
  <dcterms:created xsi:type="dcterms:W3CDTF">2003-08-30T16:50:26Z</dcterms:created>
  <dcterms:modified xsi:type="dcterms:W3CDTF">2026-04-13T23:21:41Z</dcterms:modified>
</cp:coreProperties>
</file>